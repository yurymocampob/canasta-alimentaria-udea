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deaeduco-my.sharepoint.com/personal/yury_ocampo_udea_edu_co/Documents/UdeA/Canasta de alimentos/Encuesta_precios/"/>
    </mc:Choice>
  </mc:AlternateContent>
  <xr:revisionPtr revIDLastSave="507" documentId="11_781E13B7929C4085EB9B88D7535EC68AD7CEA6C1" xr6:coauthVersionLast="47" xr6:coauthVersionMax="47" xr10:uidLastSave="{5EAE9981-EF98-4A38-A17C-0198CCEA4A11}"/>
  <bookViews>
    <workbookView xWindow="-110" yWindow="-110" windowWidth="19420" windowHeight="10300" xr2:uid="{00000000-000D-0000-FFFF-FFFF00000000}"/>
  </bookViews>
  <sheets>
    <sheet name="Asignacion_Territorial" sheetId="2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1" i="2" l="1"/>
  <c r="H651" i="2"/>
  <c r="I650" i="2"/>
  <c r="H650" i="2"/>
  <c r="I649" i="2"/>
  <c r="H649" i="2"/>
  <c r="H648" i="2"/>
  <c r="I648" i="2" s="1"/>
  <c r="I647" i="2"/>
  <c r="H647" i="2"/>
  <c r="I646" i="2"/>
  <c r="H646" i="2"/>
  <c r="I645" i="2"/>
  <c r="H645" i="2"/>
  <c r="H644" i="2"/>
  <c r="I644" i="2" s="1"/>
  <c r="I643" i="2"/>
  <c r="H643" i="2"/>
  <c r="I642" i="2"/>
  <c r="H642" i="2"/>
  <c r="I641" i="2"/>
  <c r="H641" i="2"/>
  <c r="H640" i="2"/>
  <c r="I640" i="2" s="1"/>
  <c r="I639" i="2"/>
  <c r="H639" i="2"/>
  <c r="I638" i="2"/>
  <c r="H638" i="2"/>
  <c r="I637" i="2"/>
  <c r="H637" i="2"/>
  <c r="H636" i="2"/>
  <c r="I636" i="2" s="1"/>
  <c r="I635" i="2"/>
  <c r="H635" i="2"/>
  <c r="I634" i="2"/>
  <c r="H634" i="2"/>
  <c r="I633" i="2"/>
  <c r="H633" i="2"/>
  <c r="H632" i="2"/>
  <c r="I632" i="2" s="1"/>
  <c r="I631" i="2"/>
  <c r="H631" i="2"/>
  <c r="I630" i="2"/>
  <c r="H630" i="2"/>
  <c r="I629" i="2"/>
  <c r="H629" i="2"/>
  <c r="H628" i="2"/>
  <c r="I628" i="2" s="1"/>
  <c r="I627" i="2"/>
  <c r="H627" i="2"/>
  <c r="I626" i="2"/>
  <c r="H626" i="2"/>
  <c r="I625" i="2"/>
  <c r="H625" i="2"/>
  <c r="H624" i="2"/>
  <c r="I624" i="2" s="1"/>
  <c r="I623" i="2"/>
  <c r="H623" i="2"/>
  <c r="I622" i="2"/>
  <c r="H622" i="2"/>
  <c r="I621" i="2"/>
  <c r="H621" i="2"/>
  <c r="H620" i="2"/>
  <c r="I620" i="2" s="1"/>
  <c r="I619" i="2"/>
  <c r="H619" i="2"/>
  <c r="I618" i="2"/>
  <c r="H618" i="2"/>
  <c r="I617" i="2"/>
  <c r="H617" i="2"/>
  <c r="H616" i="2"/>
  <c r="I616" i="2" s="1"/>
  <c r="I615" i="2"/>
  <c r="H615" i="2"/>
  <c r="I614" i="2"/>
  <c r="H614" i="2"/>
  <c r="I613" i="2"/>
  <c r="H613" i="2"/>
  <c r="H612" i="2"/>
  <c r="I612" i="2" s="1"/>
  <c r="I611" i="2"/>
  <c r="H611" i="2"/>
  <c r="I610" i="2"/>
  <c r="H610" i="2"/>
  <c r="I609" i="2"/>
  <c r="H609" i="2"/>
  <c r="H608" i="2"/>
  <c r="I608" i="2" s="1"/>
  <c r="I607" i="2"/>
  <c r="H607" i="2"/>
  <c r="I606" i="2"/>
  <c r="H606" i="2"/>
  <c r="I605" i="2"/>
  <c r="H605" i="2"/>
  <c r="H604" i="2"/>
  <c r="I604" i="2" s="1"/>
  <c r="I603" i="2"/>
  <c r="H603" i="2"/>
  <c r="I602" i="2"/>
  <c r="H602" i="2"/>
  <c r="I601" i="2"/>
  <c r="H601" i="2"/>
  <c r="H600" i="2"/>
  <c r="I600" i="2" s="1"/>
  <c r="I599" i="2"/>
  <c r="H599" i="2"/>
  <c r="I598" i="2"/>
  <c r="H598" i="2"/>
  <c r="I597" i="2"/>
  <c r="H597" i="2"/>
  <c r="H596" i="2"/>
  <c r="I596" i="2" s="1"/>
  <c r="I595" i="2"/>
  <c r="H595" i="2"/>
  <c r="I594" i="2"/>
  <c r="H594" i="2"/>
  <c r="I593" i="2"/>
  <c r="H593" i="2"/>
  <c r="H592" i="2"/>
  <c r="I592" i="2" s="1"/>
  <c r="I591" i="2"/>
  <c r="H591" i="2"/>
  <c r="I590" i="2"/>
  <c r="H590" i="2"/>
  <c r="I589" i="2"/>
  <c r="H589" i="2"/>
  <c r="H588" i="2"/>
  <c r="I588" i="2" s="1"/>
  <c r="I587" i="2"/>
  <c r="H587" i="2"/>
  <c r="I586" i="2"/>
  <c r="H586" i="2"/>
  <c r="I585" i="2"/>
  <c r="H585" i="2"/>
  <c r="H584" i="2"/>
  <c r="I584" i="2" s="1"/>
  <c r="I583" i="2"/>
  <c r="H583" i="2"/>
  <c r="I582" i="2"/>
  <c r="H582" i="2"/>
  <c r="I581" i="2"/>
  <c r="H581" i="2"/>
  <c r="H580" i="2"/>
  <c r="I580" i="2" s="1"/>
  <c r="I579" i="2"/>
  <c r="H579" i="2"/>
  <c r="I578" i="2"/>
  <c r="H578" i="2"/>
  <c r="I577" i="2"/>
  <c r="H577" i="2"/>
  <c r="H576" i="2"/>
  <c r="I576" i="2" s="1"/>
  <c r="I575" i="2"/>
  <c r="H575" i="2"/>
  <c r="I574" i="2"/>
  <c r="H574" i="2"/>
  <c r="I573" i="2"/>
  <c r="H573" i="2"/>
  <c r="H572" i="2"/>
  <c r="I572" i="2" s="1"/>
  <c r="I571" i="2"/>
  <c r="H571" i="2"/>
  <c r="I570" i="2"/>
  <c r="H570" i="2"/>
  <c r="I569" i="2"/>
  <c r="H569" i="2"/>
  <c r="H568" i="2"/>
  <c r="I568" i="2" s="1"/>
  <c r="I567" i="2"/>
  <c r="H567" i="2"/>
  <c r="I566" i="2"/>
  <c r="H566" i="2"/>
  <c r="I565" i="2"/>
  <c r="H565" i="2"/>
  <c r="H564" i="2"/>
  <c r="I564" i="2" s="1"/>
  <c r="I563" i="2"/>
  <c r="H563" i="2"/>
  <c r="I562" i="2"/>
  <c r="H562" i="2"/>
  <c r="I561" i="2"/>
  <c r="H561" i="2"/>
  <c r="H560" i="2"/>
  <c r="I560" i="2" s="1"/>
  <c r="I559" i="2"/>
  <c r="H559" i="2"/>
  <c r="I558" i="2"/>
  <c r="H558" i="2"/>
  <c r="I557" i="2"/>
  <c r="H557" i="2"/>
  <c r="H556" i="2"/>
  <c r="I556" i="2" s="1"/>
  <c r="I555" i="2"/>
  <c r="H555" i="2"/>
  <c r="I554" i="2"/>
  <c r="H554" i="2"/>
  <c r="I553" i="2"/>
  <c r="H553" i="2"/>
  <c r="H552" i="2"/>
  <c r="I552" i="2" s="1"/>
  <c r="I551" i="2"/>
  <c r="H551" i="2"/>
  <c r="I550" i="2"/>
  <c r="H550" i="2"/>
  <c r="I549" i="2"/>
  <c r="H549" i="2"/>
  <c r="H548" i="2"/>
  <c r="I548" i="2" s="1"/>
  <c r="I547" i="2"/>
  <c r="H547" i="2"/>
  <c r="I546" i="2"/>
  <c r="H546" i="2"/>
  <c r="I545" i="2"/>
  <c r="H545" i="2"/>
  <c r="H544" i="2"/>
  <c r="I544" i="2" s="1"/>
  <c r="I543" i="2"/>
  <c r="H543" i="2"/>
  <c r="I542" i="2"/>
  <c r="H542" i="2"/>
  <c r="I541" i="2"/>
  <c r="H541" i="2"/>
  <c r="H540" i="2"/>
  <c r="I540" i="2" s="1"/>
  <c r="I539" i="2"/>
  <c r="H539" i="2"/>
  <c r="I538" i="2"/>
  <c r="H538" i="2"/>
  <c r="I537" i="2"/>
  <c r="H537" i="2"/>
  <c r="H536" i="2"/>
  <c r="I536" i="2" s="1"/>
  <c r="I535" i="2"/>
  <c r="H535" i="2"/>
  <c r="I534" i="2"/>
  <c r="H534" i="2"/>
  <c r="I533" i="2"/>
  <c r="H533" i="2"/>
  <c r="H532" i="2"/>
  <c r="I532" i="2" s="1"/>
  <c r="I531" i="2"/>
  <c r="H531" i="2"/>
  <c r="I530" i="2"/>
  <c r="H530" i="2"/>
  <c r="I529" i="2"/>
  <c r="H529" i="2"/>
  <c r="H528" i="2"/>
  <c r="I528" i="2" s="1"/>
  <c r="I527" i="2"/>
  <c r="H527" i="2"/>
  <c r="I526" i="2"/>
  <c r="H526" i="2"/>
  <c r="I525" i="2"/>
  <c r="H525" i="2"/>
  <c r="H524" i="2"/>
  <c r="I524" i="2" s="1"/>
  <c r="I523" i="2"/>
  <c r="H523" i="2"/>
  <c r="I522" i="2"/>
  <c r="H522" i="2"/>
  <c r="I521" i="2"/>
  <c r="H521" i="2"/>
  <c r="H520" i="2"/>
  <c r="I520" i="2" s="1"/>
  <c r="I519" i="2"/>
  <c r="H519" i="2"/>
  <c r="I518" i="2"/>
  <c r="H518" i="2"/>
  <c r="I517" i="2"/>
  <c r="H517" i="2"/>
  <c r="H516" i="2"/>
  <c r="I516" i="2" s="1"/>
  <c r="I515" i="2"/>
  <c r="H515" i="2"/>
  <c r="I514" i="2"/>
  <c r="H514" i="2"/>
  <c r="I513" i="2"/>
  <c r="H513" i="2"/>
  <c r="H512" i="2"/>
  <c r="I512" i="2" s="1"/>
  <c r="I511" i="2"/>
  <c r="H511" i="2"/>
  <c r="I510" i="2"/>
  <c r="H510" i="2"/>
  <c r="I509" i="2"/>
  <c r="H509" i="2"/>
  <c r="H508" i="2"/>
  <c r="I508" i="2" s="1"/>
  <c r="I507" i="2"/>
  <c r="H507" i="2"/>
  <c r="I506" i="2"/>
  <c r="H506" i="2"/>
  <c r="I505" i="2"/>
  <c r="H505" i="2"/>
  <c r="H504" i="2"/>
  <c r="I504" i="2" s="1"/>
  <c r="I503" i="2"/>
  <c r="H503" i="2"/>
  <c r="I502" i="2"/>
  <c r="H502" i="2"/>
  <c r="I501" i="2"/>
  <c r="H501" i="2"/>
  <c r="H500" i="2"/>
  <c r="I500" i="2" s="1"/>
  <c r="I499" i="2"/>
  <c r="H499" i="2"/>
  <c r="I498" i="2"/>
  <c r="H498" i="2"/>
  <c r="I497" i="2"/>
  <c r="H497" i="2"/>
  <c r="H496" i="2"/>
  <c r="I496" i="2" s="1"/>
  <c r="I495" i="2"/>
  <c r="H495" i="2"/>
  <c r="I494" i="2"/>
  <c r="H494" i="2"/>
  <c r="I493" i="2"/>
  <c r="H493" i="2"/>
  <c r="H492" i="2"/>
  <c r="I492" i="2" s="1"/>
  <c r="I491" i="2"/>
  <c r="H491" i="2"/>
  <c r="I490" i="2"/>
  <c r="H490" i="2"/>
  <c r="I489" i="2"/>
  <c r="H489" i="2"/>
  <c r="H488" i="2"/>
  <c r="I488" i="2" s="1"/>
  <c r="I487" i="2"/>
  <c r="H487" i="2"/>
  <c r="I486" i="2"/>
  <c r="H486" i="2"/>
  <c r="I485" i="2"/>
  <c r="H485" i="2"/>
  <c r="H484" i="2"/>
  <c r="I484" i="2" s="1"/>
  <c r="I483" i="2"/>
  <c r="H483" i="2"/>
  <c r="I482" i="2"/>
  <c r="H482" i="2"/>
  <c r="I481" i="2"/>
  <c r="H481" i="2"/>
  <c r="H480" i="2"/>
  <c r="I480" i="2" s="1"/>
  <c r="I479" i="2"/>
  <c r="H479" i="2"/>
  <c r="I478" i="2"/>
  <c r="H478" i="2"/>
  <c r="I477" i="2"/>
  <c r="H477" i="2"/>
  <c r="H476" i="2"/>
  <c r="I476" i="2" s="1"/>
  <c r="I475" i="2"/>
  <c r="H475" i="2"/>
  <c r="I474" i="2"/>
  <c r="H474" i="2"/>
  <c r="I473" i="2"/>
  <c r="H473" i="2"/>
  <c r="H472" i="2"/>
  <c r="I472" i="2" s="1"/>
  <c r="I471" i="2"/>
  <c r="H471" i="2"/>
  <c r="I470" i="2"/>
  <c r="H470" i="2"/>
  <c r="I469" i="2"/>
  <c r="H469" i="2"/>
  <c r="H468" i="2"/>
  <c r="I468" i="2" s="1"/>
  <c r="I467" i="2"/>
  <c r="H467" i="2"/>
  <c r="I466" i="2"/>
  <c r="H466" i="2"/>
  <c r="I465" i="2"/>
  <c r="H465" i="2"/>
  <c r="H464" i="2"/>
  <c r="I464" i="2" s="1"/>
  <c r="I463" i="2"/>
  <c r="H463" i="2"/>
  <c r="I462" i="2"/>
  <c r="H462" i="2"/>
  <c r="I461" i="2"/>
  <c r="H461" i="2"/>
  <c r="H460" i="2"/>
  <c r="I460" i="2" s="1"/>
  <c r="I459" i="2"/>
  <c r="H459" i="2"/>
  <c r="I458" i="2"/>
  <c r="H458" i="2"/>
  <c r="I457" i="2"/>
  <c r="H457" i="2"/>
  <c r="H456" i="2"/>
  <c r="I456" i="2" s="1"/>
  <c r="I455" i="2"/>
  <c r="H455" i="2"/>
  <c r="I454" i="2"/>
  <c r="H454" i="2"/>
  <c r="I453" i="2"/>
  <c r="H453" i="2"/>
  <c r="H452" i="2"/>
  <c r="I452" i="2" s="1"/>
  <c r="I451" i="2"/>
  <c r="H451" i="2"/>
  <c r="I450" i="2"/>
  <c r="H450" i="2"/>
  <c r="I449" i="2"/>
  <c r="H449" i="2"/>
  <c r="H448" i="2"/>
  <c r="I448" i="2" s="1"/>
  <c r="I447" i="2"/>
  <c r="H447" i="2"/>
  <c r="I446" i="2"/>
  <c r="H446" i="2"/>
  <c r="I445" i="2"/>
  <c r="H445" i="2"/>
  <c r="H444" i="2"/>
  <c r="I444" i="2" s="1"/>
  <c r="I443" i="2"/>
  <c r="H443" i="2"/>
  <c r="I442" i="2"/>
  <c r="H442" i="2"/>
  <c r="I441" i="2"/>
  <c r="H441" i="2"/>
  <c r="H440" i="2"/>
  <c r="I440" i="2" s="1"/>
  <c r="I439" i="2"/>
  <c r="H439" i="2"/>
  <c r="I438" i="2"/>
  <c r="H438" i="2"/>
  <c r="I437" i="2"/>
  <c r="H437" i="2"/>
  <c r="H436" i="2"/>
  <c r="I436" i="2" s="1"/>
  <c r="I435" i="2"/>
  <c r="H435" i="2"/>
  <c r="I434" i="2"/>
  <c r="H434" i="2"/>
  <c r="I433" i="2"/>
  <c r="H433" i="2"/>
  <c r="H432" i="2"/>
  <c r="I432" i="2" s="1"/>
  <c r="I431" i="2"/>
  <c r="H431" i="2"/>
  <c r="I430" i="2"/>
  <c r="H430" i="2"/>
  <c r="I429" i="2"/>
  <c r="H429" i="2"/>
  <c r="H428" i="2"/>
  <c r="I428" i="2" s="1"/>
  <c r="I427" i="2"/>
  <c r="H427" i="2"/>
  <c r="I426" i="2"/>
  <c r="H426" i="2"/>
  <c r="I425" i="2"/>
  <c r="H425" i="2"/>
  <c r="H424" i="2"/>
  <c r="I424" i="2" s="1"/>
  <c r="I423" i="2"/>
  <c r="H423" i="2"/>
  <c r="I422" i="2"/>
  <c r="H422" i="2"/>
  <c r="I421" i="2"/>
  <c r="H421" i="2"/>
  <c r="H420" i="2"/>
  <c r="I420" i="2" s="1"/>
  <c r="I419" i="2"/>
  <c r="H419" i="2"/>
  <c r="I418" i="2"/>
  <c r="H418" i="2"/>
  <c r="I417" i="2"/>
  <c r="H417" i="2"/>
  <c r="H416" i="2"/>
  <c r="I416" i="2" s="1"/>
  <c r="I415" i="2"/>
  <c r="H415" i="2"/>
  <c r="I414" i="2"/>
  <c r="H414" i="2"/>
  <c r="I413" i="2"/>
  <c r="H413" i="2"/>
  <c r="H412" i="2"/>
  <c r="I412" i="2" s="1"/>
  <c r="I411" i="2"/>
  <c r="H411" i="2"/>
  <c r="I410" i="2"/>
  <c r="H410" i="2"/>
  <c r="I409" i="2"/>
  <c r="H409" i="2"/>
  <c r="H408" i="2"/>
  <c r="I408" i="2" s="1"/>
  <c r="I407" i="2"/>
  <c r="H407" i="2"/>
  <c r="I406" i="2"/>
  <c r="H406" i="2"/>
  <c r="I405" i="2"/>
  <c r="H405" i="2"/>
  <c r="H404" i="2"/>
  <c r="I404" i="2" s="1"/>
  <c r="I403" i="2"/>
  <c r="H403" i="2"/>
  <c r="I402" i="2"/>
  <c r="H402" i="2"/>
  <c r="I401" i="2"/>
  <c r="H401" i="2"/>
  <c r="H400" i="2"/>
  <c r="I400" i="2" s="1"/>
  <c r="I399" i="2"/>
  <c r="H399" i="2"/>
  <c r="I398" i="2"/>
  <c r="H398" i="2"/>
  <c r="I397" i="2"/>
  <c r="H397" i="2"/>
  <c r="H396" i="2"/>
  <c r="I396" i="2" s="1"/>
  <c r="I395" i="2"/>
  <c r="H395" i="2"/>
  <c r="I394" i="2"/>
  <c r="H394" i="2"/>
  <c r="I393" i="2"/>
  <c r="H393" i="2"/>
  <c r="H392" i="2"/>
  <c r="I392" i="2" s="1"/>
  <c r="I391" i="2"/>
  <c r="H391" i="2"/>
  <c r="I390" i="2"/>
  <c r="H390" i="2"/>
  <c r="I389" i="2"/>
  <c r="H389" i="2"/>
  <c r="H388" i="2"/>
  <c r="I388" i="2" s="1"/>
  <c r="I387" i="2"/>
  <c r="H387" i="2"/>
  <c r="I386" i="2"/>
  <c r="H386" i="2"/>
  <c r="I385" i="2"/>
  <c r="H385" i="2"/>
  <c r="H384" i="2"/>
  <c r="I384" i="2" s="1"/>
  <c r="I383" i="2"/>
  <c r="H383" i="2"/>
  <c r="I382" i="2"/>
  <c r="H382" i="2"/>
  <c r="I381" i="2"/>
  <c r="H381" i="2"/>
  <c r="H380" i="2"/>
  <c r="I380" i="2" s="1"/>
  <c r="I379" i="2"/>
  <c r="H379" i="2"/>
  <c r="I378" i="2"/>
  <c r="H378" i="2"/>
  <c r="I377" i="2"/>
  <c r="H377" i="2"/>
  <c r="H376" i="2"/>
  <c r="I376" i="2" s="1"/>
  <c r="I375" i="2"/>
  <c r="H375" i="2"/>
  <c r="I374" i="2"/>
  <c r="H374" i="2"/>
  <c r="I373" i="2"/>
  <c r="H373" i="2"/>
  <c r="H372" i="2"/>
  <c r="I372" i="2" s="1"/>
  <c r="I371" i="2"/>
  <c r="H371" i="2"/>
  <c r="I370" i="2"/>
  <c r="H370" i="2"/>
  <c r="I369" i="2"/>
  <c r="H369" i="2"/>
  <c r="H368" i="2"/>
  <c r="I368" i="2" s="1"/>
  <c r="I367" i="2"/>
  <c r="H367" i="2"/>
  <c r="I366" i="2"/>
  <c r="H366" i="2"/>
  <c r="I365" i="2"/>
  <c r="H365" i="2"/>
  <c r="H364" i="2"/>
  <c r="I364" i="2" s="1"/>
  <c r="I363" i="2"/>
  <c r="H363" i="2"/>
  <c r="I362" i="2"/>
  <c r="H362" i="2"/>
  <c r="I361" i="2"/>
  <c r="H361" i="2"/>
  <c r="H360" i="2"/>
  <c r="I360" i="2" s="1"/>
  <c r="I359" i="2"/>
  <c r="H359" i="2"/>
  <c r="I358" i="2"/>
  <c r="H358" i="2"/>
  <c r="I357" i="2"/>
  <c r="H357" i="2"/>
  <c r="H356" i="2"/>
  <c r="I356" i="2" s="1"/>
  <c r="I355" i="2"/>
  <c r="H355" i="2"/>
  <c r="I354" i="2"/>
  <c r="H354" i="2"/>
  <c r="I353" i="2"/>
  <c r="H353" i="2"/>
  <c r="H352" i="2"/>
  <c r="I352" i="2" s="1"/>
  <c r="I351" i="2"/>
  <c r="H351" i="2"/>
  <c r="I350" i="2"/>
  <c r="H350" i="2"/>
  <c r="I349" i="2"/>
  <c r="H349" i="2"/>
  <c r="H348" i="2"/>
  <c r="I348" i="2" s="1"/>
  <c r="I347" i="2"/>
  <c r="H347" i="2"/>
  <c r="I346" i="2"/>
  <c r="H346" i="2"/>
  <c r="I345" i="2"/>
  <c r="H345" i="2"/>
  <c r="H344" i="2"/>
  <c r="I344" i="2" s="1"/>
  <c r="I343" i="2"/>
  <c r="H343" i="2"/>
  <c r="I342" i="2"/>
  <c r="H342" i="2"/>
  <c r="I341" i="2"/>
  <c r="H341" i="2"/>
  <c r="H340" i="2"/>
  <c r="I340" i="2" s="1"/>
  <c r="I339" i="2"/>
  <c r="H339" i="2"/>
  <c r="I338" i="2"/>
  <c r="H338" i="2"/>
  <c r="I337" i="2"/>
  <c r="H337" i="2"/>
  <c r="H336" i="2"/>
  <c r="I336" i="2" s="1"/>
  <c r="I335" i="2"/>
  <c r="H335" i="2"/>
  <c r="I334" i="2"/>
  <c r="H334" i="2"/>
  <c r="I333" i="2"/>
  <c r="H333" i="2"/>
  <c r="H332" i="2"/>
  <c r="I332" i="2" s="1"/>
  <c r="I331" i="2"/>
  <c r="H331" i="2"/>
  <c r="I330" i="2"/>
  <c r="H330" i="2"/>
  <c r="I329" i="2"/>
  <c r="H329" i="2"/>
  <c r="H328" i="2"/>
  <c r="I328" i="2" s="1"/>
  <c r="I327" i="2"/>
  <c r="H327" i="2"/>
  <c r="I326" i="2"/>
  <c r="H326" i="2"/>
  <c r="I325" i="2"/>
  <c r="H325" i="2"/>
  <c r="H324" i="2"/>
  <c r="I324" i="2" s="1"/>
  <c r="I323" i="2"/>
  <c r="H323" i="2"/>
  <c r="I322" i="2"/>
  <c r="H322" i="2"/>
  <c r="I321" i="2"/>
  <c r="H321" i="2"/>
  <c r="H320" i="2"/>
  <c r="I320" i="2" s="1"/>
  <c r="I319" i="2"/>
  <c r="H319" i="2"/>
  <c r="I318" i="2"/>
  <c r="H318" i="2"/>
  <c r="I317" i="2"/>
  <c r="H317" i="2"/>
  <c r="H316" i="2"/>
  <c r="I316" i="2" s="1"/>
  <c r="I315" i="2"/>
  <c r="H315" i="2"/>
  <c r="I314" i="2"/>
  <c r="H314" i="2"/>
  <c r="I313" i="2"/>
  <c r="H313" i="2"/>
  <c r="H312" i="2"/>
  <c r="I312" i="2" s="1"/>
  <c r="I311" i="2"/>
  <c r="H311" i="2"/>
  <c r="I310" i="2"/>
  <c r="H310" i="2"/>
  <c r="I309" i="2"/>
  <c r="H309" i="2"/>
  <c r="H308" i="2"/>
  <c r="I308" i="2" s="1"/>
  <c r="I307" i="2"/>
  <c r="H307" i="2"/>
  <c r="I306" i="2"/>
  <c r="H306" i="2"/>
  <c r="I305" i="2"/>
  <c r="H305" i="2"/>
  <c r="H304" i="2"/>
  <c r="I304" i="2" s="1"/>
  <c r="I303" i="2"/>
  <c r="H303" i="2"/>
  <c r="I302" i="2"/>
  <c r="H302" i="2"/>
  <c r="I301" i="2"/>
  <c r="H301" i="2"/>
  <c r="H300" i="2"/>
  <c r="I300" i="2" s="1"/>
  <c r="I299" i="2"/>
  <c r="H299" i="2"/>
  <c r="I298" i="2"/>
  <c r="H298" i="2"/>
  <c r="I297" i="2"/>
  <c r="H297" i="2"/>
  <c r="H296" i="2"/>
  <c r="I296" i="2" s="1"/>
  <c r="I295" i="2"/>
  <c r="H295" i="2"/>
  <c r="I294" i="2"/>
  <c r="H294" i="2"/>
  <c r="I293" i="2"/>
  <c r="H293" i="2"/>
  <c r="H292" i="2"/>
  <c r="I292" i="2" s="1"/>
  <c r="I291" i="2"/>
  <c r="H291" i="2"/>
  <c r="I290" i="2"/>
  <c r="H290" i="2"/>
  <c r="I289" i="2"/>
  <c r="H289" i="2"/>
  <c r="H288" i="2"/>
  <c r="I288" i="2" s="1"/>
  <c r="I287" i="2"/>
  <c r="H287" i="2"/>
  <c r="I286" i="2"/>
  <c r="H286" i="2"/>
  <c r="I285" i="2"/>
  <c r="H285" i="2"/>
  <c r="H284" i="2"/>
  <c r="I284" i="2" s="1"/>
  <c r="I283" i="2"/>
  <c r="H283" i="2"/>
  <c r="I282" i="2"/>
  <c r="H282" i="2"/>
  <c r="I281" i="2"/>
  <c r="H281" i="2"/>
  <c r="H280" i="2"/>
  <c r="I280" i="2" s="1"/>
  <c r="I279" i="2"/>
  <c r="H279" i="2"/>
  <c r="I278" i="2"/>
  <c r="H278" i="2"/>
  <c r="I277" i="2"/>
  <c r="H277" i="2"/>
  <c r="H276" i="2"/>
  <c r="I276" i="2" s="1"/>
  <c r="I275" i="2"/>
  <c r="H275" i="2"/>
  <c r="I274" i="2"/>
  <c r="H274" i="2"/>
  <c r="I273" i="2"/>
  <c r="H273" i="2"/>
  <c r="H272" i="2"/>
  <c r="I272" i="2" s="1"/>
  <c r="I271" i="2"/>
  <c r="H271" i="2"/>
  <c r="I270" i="2"/>
  <c r="H270" i="2"/>
  <c r="I269" i="2"/>
  <c r="H269" i="2"/>
  <c r="H268" i="2"/>
  <c r="I268" i="2" s="1"/>
  <c r="I267" i="2"/>
  <c r="H267" i="2"/>
  <c r="I266" i="2"/>
  <c r="H266" i="2"/>
  <c r="I265" i="2"/>
  <c r="H265" i="2"/>
  <c r="H264" i="2"/>
  <c r="I264" i="2" s="1"/>
  <c r="I263" i="2"/>
  <c r="H263" i="2"/>
  <c r="I262" i="2"/>
  <c r="H262" i="2"/>
  <c r="I261" i="2"/>
  <c r="H261" i="2"/>
  <c r="H260" i="2"/>
  <c r="I260" i="2" s="1"/>
  <c r="I259" i="2"/>
  <c r="H259" i="2"/>
  <c r="I258" i="2"/>
  <c r="H258" i="2"/>
  <c r="I257" i="2"/>
  <c r="H257" i="2"/>
  <c r="H256" i="2"/>
  <c r="I256" i="2" s="1"/>
  <c r="I255" i="2"/>
  <c r="H255" i="2"/>
  <c r="I254" i="2"/>
  <c r="H254" i="2"/>
  <c r="I253" i="2"/>
  <c r="H253" i="2"/>
  <c r="H252" i="2"/>
  <c r="I252" i="2" s="1"/>
  <c r="I251" i="2"/>
  <c r="H251" i="2"/>
  <c r="I250" i="2"/>
  <c r="H250" i="2"/>
  <c r="I249" i="2"/>
  <c r="H249" i="2"/>
  <c r="H248" i="2"/>
  <c r="I248" i="2" s="1"/>
  <c r="I247" i="2"/>
  <c r="H247" i="2"/>
  <c r="I246" i="2"/>
  <c r="H246" i="2"/>
  <c r="I245" i="2"/>
  <c r="H245" i="2"/>
  <c r="H244" i="2"/>
  <c r="I244" i="2" s="1"/>
  <c r="I243" i="2"/>
  <c r="H243" i="2"/>
  <c r="I242" i="2"/>
  <c r="H242" i="2"/>
  <c r="I241" i="2"/>
  <c r="H241" i="2"/>
  <c r="H240" i="2"/>
  <c r="I240" i="2" s="1"/>
  <c r="I239" i="2"/>
  <c r="H239" i="2"/>
  <c r="I238" i="2"/>
  <c r="H238" i="2"/>
  <c r="I237" i="2"/>
  <c r="H237" i="2"/>
  <c r="H236" i="2"/>
  <c r="I236" i="2" s="1"/>
  <c r="I235" i="2"/>
  <c r="H235" i="2"/>
  <c r="I234" i="2"/>
  <c r="H234" i="2"/>
  <c r="I233" i="2"/>
  <c r="H233" i="2"/>
  <c r="H232" i="2"/>
  <c r="I232" i="2" s="1"/>
  <c r="I231" i="2"/>
  <c r="H231" i="2"/>
  <c r="I230" i="2"/>
  <c r="H230" i="2"/>
  <c r="I229" i="2"/>
  <c r="H229" i="2"/>
  <c r="H228" i="2"/>
  <c r="I228" i="2" s="1"/>
  <c r="I227" i="2"/>
  <c r="H227" i="2"/>
  <c r="I226" i="2"/>
  <c r="H226" i="2"/>
  <c r="I225" i="2"/>
  <c r="H225" i="2"/>
  <c r="H224" i="2"/>
  <c r="I224" i="2" s="1"/>
  <c r="I223" i="2"/>
  <c r="H223" i="2"/>
  <c r="I222" i="2"/>
  <c r="H222" i="2"/>
  <c r="I221" i="2"/>
  <c r="H221" i="2"/>
  <c r="H220" i="2"/>
  <c r="I220" i="2" s="1"/>
  <c r="I219" i="2"/>
  <c r="H219" i="2"/>
  <c r="I218" i="2"/>
  <c r="H218" i="2"/>
  <c r="I217" i="2"/>
  <c r="H217" i="2"/>
  <c r="H216" i="2"/>
  <c r="I216" i="2" s="1"/>
  <c r="I215" i="2"/>
  <c r="H215" i="2"/>
  <c r="I214" i="2"/>
  <c r="H214" i="2"/>
  <c r="I213" i="2"/>
  <c r="H213" i="2"/>
  <c r="H212" i="2"/>
  <c r="I212" i="2" s="1"/>
  <c r="I211" i="2"/>
  <c r="H211" i="2"/>
  <c r="I210" i="2"/>
  <c r="H210" i="2"/>
  <c r="I209" i="2"/>
  <c r="H209" i="2"/>
  <c r="H208" i="2"/>
  <c r="I208" i="2" s="1"/>
  <c r="I207" i="2"/>
  <c r="H207" i="2"/>
  <c r="I206" i="2"/>
  <c r="H206" i="2"/>
  <c r="I205" i="2"/>
  <c r="H205" i="2"/>
  <c r="H204" i="2"/>
  <c r="I204" i="2" s="1"/>
  <c r="I203" i="2"/>
  <c r="H203" i="2"/>
  <c r="I202" i="2"/>
  <c r="H202" i="2"/>
  <c r="I201" i="2"/>
  <c r="H201" i="2"/>
  <c r="H200" i="2"/>
  <c r="I200" i="2" s="1"/>
  <c r="I199" i="2"/>
  <c r="H199" i="2"/>
  <c r="I198" i="2"/>
  <c r="H198" i="2"/>
  <c r="I197" i="2"/>
  <c r="H197" i="2"/>
  <c r="H196" i="2"/>
  <c r="I196" i="2" s="1"/>
  <c r="I195" i="2"/>
  <c r="H195" i="2"/>
  <c r="I194" i="2"/>
  <c r="H194" i="2"/>
  <c r="I193" i="2"/>
  <c r="H193" i="2"/>
  <c r="H192" i="2"/>
  <c r="I192" i="2" s="1"/>
  <c r="I191" i="2"/>
  <c r="H191" i="2"/>
  <c r="I190" i="2"/>
  <c r="H190" i="2"/>
  <c r="I189" i="2"/>
  <c r="H189" i="2"/>
  <c r="H188" i="2"/>
  <c r="I188" i="2" s="1"/>
  <c r="I187" i="2"/>
  <c r="H187" i="2"/>
  <c r="I186" i="2"/>
  <c r="H186" i="2"/>
  <c r="I185" i="2"/>
  <c r="H185" i="2"/>
  <c r="H184" i="2"/>
  <c r="I184" i="2" s="1"/>
  <c r="I183" i="2"/>
  <c r="H183" i="2"/>
  <c r="I182" i="2"/>
  <c r="H182" i="2"/>
  <c r="I181" i="2"/>
  <c r="H181" i="2"/>
  <c r="H180" i="2"/>
  <c r="I180" i="2" s="1"/>
  <c r="I179" i="2"/>
  <c r="H179" i="2"/>
  <c r="I178" i="2"/>
  <c r="H178" i="2"/>
  <c r="I177" i="2"/>
  <c r="H177" i="2"/>
  <c r="H176" i="2"/>
  <c r="I176" i="2" s="1"/>
  <c r="I175" i="2"/>
  <c r="H175" i="2"/>
  <c r="I174" i="2"/>
  <c r="H174" i="2"/>
  <c r="I173" i="2"/>
  <c r="H173" i="2"/>
  <c r="H172" i="2"/>
  <c r="I172" i="2" s="1"/>
  <c r="I171" i="2"/>
  <c r="H171" i="2"/>
  <c r="I170" i="2"/>
  <c r="H170" i="2"/>
  <c r="I169" i="2"/>
  <c r="H169" i="2"/>
  <c r="H168" i="2"/>
  <c r="I168" i="2" s="1"/>
  <c r="I167" i="2"/>
  <c r="H167" i="2"/>
  <c r="I166" i="2"/>
  <c r="H166" i="2"/>
  <c r="I165" i="2"/>
  <c r="H165" i="2"/>
  <c r="H164" i="2"/>
  <c r="I164" i="2" s="1"/>
  <c r="I163" i="2"/>
  <c r="H163" i="2"/>
  <c r="I162" i="2"/>
  <c r="H162" i="2"/>
  <c r="I161" i="2"/>
  <c r="H161" i="2"/>
  <c r="H160" i="2"/>
  <c r="I160" i="2" s="1"/>
  <c r="I159" i="2"/>
  <c r="H159" i="2"/>
  <c r="I158" i="2"/>
  <c r="H158" i="2"/>
  <c r="I157" i="2"/>
  <c r="H157" i="2"/>
  <c r="H156" i="2"/>
  <c r="I156" i="2" s="1"/>
  <c r="I155" i="2"/>
  <c r="H155" i="2"/>
  <c r="I154" i="2"/>
  <c r="H154" i="2"/>
  <c r="I153" i="2"/>
  <c r="H153" i="2"/>
  <c r="H152" i="2"/>
  <c r="I152" i="2" s="1"/>
  <c r="I151" i="2"/>
  <c r="H151" i="2"/>
  <c r="I150" i="2"/>
  <c r="H150" i="2"/>
  <c r="I149" i="2"/>
  <c r="H149" i="2"/>
  <c r="H148" i="2"/>
  <c r="I148" i="2" s="1"/>
  <c r="I147" i="2"/>
  <c r="H147" i="2"/>
  <c r="I146" i="2"/>
  <c r="H146" i="2"/>
  <c r="I145" i="2"/>
  <c r="H145" i="2"/>
  <c r="H144" i="2"/>
  <c r="I144" i="2" s="1"/>
  <c r="I143" i="2"/>
  <c r="H143" i="2"/>
  <c r="I142" i="2"/>
  <c r="H142" i="2"/>
  <c r="I141" i="2"/>
  <c r="H141" i="2"/>
  <c r="H140" i="2"/>
  <c r="I140" i="2" s="1"/>
  <c r="I139" i="2"/>
  <c r="H139" i="2"/>
  <c r="I138" i="2"/>
  <c r="H138" i="2"/>
  <c r="I137" i="2"/>
  <c r="H137" i="2"/>
  <c r="H136" i="2"/>
  <c r="I136" i="2" s="1"/>
  <c r="I135" i="2"/>
  <c r="H135" i="2"/>
  <c r="I134" i="2"/>
  <c r="H134" i="2"/>
  <c r="I133" i="2"/>
  <c r="H133" i="2"/>
  <c r="H132" i="2"/>
  <c r="I132" i="2" s="1"/>
  <c r="I131" i="2"/>
  <c r="H131" i="2"/>
  <c r="I130" i="2"/>
  <c r="H130" i="2"/>
  <c r="I129" i="2"/>
  <c r="H129" i="2"/>
  <c r="H128" i="2"/>
  <c r="I128" i="2" s="1"/>
  <c r="I127" i="2"/>
  <c r="H127" i="2"/>
  <c r="I126" i="2"/>
  <c r="H126" i="2"/>
  <c r="I125" i="2"/>
  <c r="H125" i="2"/>
  <c r="H124" i="2"/>
  <c r="I124" i="2" s="1"/>
  <c r="I123" i="2"/>
  <c r="H123" i="2"/>
  <c r="I122" i="2"/>
  <c r="H122" i="2"/>
  <c r="I121" i="2"/>
  <c r="H121" i="2"/>
  <c r="H120" i="2"/>
  <c r="I120" i="2" s="1"/>
  <c r="I119" i="2"/>
  <c r="H119" i="2"/>
  <c r="I118" i="2"/>
  <c r="H118" i="2"/>
  <c r="I117" i="2"/>
  <c r="H117" i="2"/>
  <c r="H116" i="2"/>
  <c r="I116" i="2" s="1"/>
  <c r="I115" i="2"/>
  <c r="H115" i="2"/>
  <c r="I114" i="2"/>
  <c r="H114" i="2"/>
  <c r="I113" i="2"/>
  <c r="H113" i="2"/>
  <c r="H112" i="2"/>
  <c r="I112" i="2" s="1"/>
  <c r="I111" i="2"/>
  <c r="H111" i="2"/>
  <c r="I110" i="2"/>
  <c r="H110" i="2"/>
  <c r="I109" i="2"/>
  <c r="H109" i="2"/>
  <c r="H108" i="2"/>
  <c r="I108" i="2" s="1"/>
  <c r="I107" i="2"/>
  <c r="H107" i="2"/>
  <c r="I106" i="2"/>
  <c r="H106" i="2"/>
  <c r="I105" i="2"/>
  <c r="H105" i="2"/>
  <c r="H104" i="2"/>
  <c r="I104" i="2" s="1"/>
  <c r="I103" i="2"/>
  <c r="H103" i="2"/>
  <c r="I102" i="2"/>
  <c r="H102" i="2"/>
  <c r="I101" i="2"/>
  <c r="H101" i="2"/>
  <c r="H100" i="2"/>
  <c r="I100" i="2" s="1"/>
  <c r="I99" i="2"/>
  <c r="H99" i="2"/>
  <c r="I98" i="2"/>
  <c r="H98" i="2"/>
  <c r="I97" i="2"/>
  <c r="H97" i="2"/>
  <c r="H96" i="2"/>
  <c r="I96" i="2" s="1"/>
  <c r="I95" i="2"/>
  <c r="H95" i="2"/>
  <c r="I94" i="2"/>
  <c r="H94" i="2"/>
  <c r="I93" i="2"/>
  <c r="H93" i="2"/>
  <c r="H92" i="2"/>
  <c r="I92" i="2" s="1"/>
  <c r="I91" i="2"/>
  <c r="H91" i="2"/>
  <c r="I90" i="2"/>
  <c r="H90" i="2"/>
  <c r="I89" i="2"/>
  <c r="H89" i="2"/>
  <c r="H88" i="2"/>
  <c r="I88" i="2" s="1"/>
  <c r="I87" i="2"/>
  <c r="H87" i="2"/>
  <c r="I86" i="2"/>
  <c r="H86" i="2"/>
  <c r="I85" i="2"/>
  <c r="H85" i="2"/>
  <c r="H84" i="2"/>
  <c r="I84" i="2" s="1"/>
  <c r="I83" i="2"/>
  <c r="H83" i="2"/>
  <c r="I82" i="2"/>
  <c r="H82" i="2"/>
  <c r="I81" i="2"/>
  <c r="H81" i="2"/>
  <c r="H80" i="2"/>
  <c r="I80" i="2" s="1"/>
  <c r="I79" i="2"/>
  <c r="H79" i="2"/>
  <c r="I78" i="2"/>
  <c r="H78" i="2"/>
  <c r="I77" i="2"/>
  <c r="H77" i="2"/>
  <c r="H76" i="2"/>
  <c r="I76" i="2" s="1"/>
  <c r="I75" i="2"/>
  <c r="H75" i="2"/>
  <c r="I74" i="2"/>
  <c r="H74" i="2"/>
  <c r="I73" i="2"/>
  <c r="H73" i="2"/>
  <c r="H72" i="2"/>
  <c r="I72" i="2" s="1"/>
  <c r="I71" i="2"/>
  <c r="H71" i="2"/>
  <c r="I70" i="2"/>
  <c r="H70" i="2"/>
  <c r="I69" i="2"/>
  <c r="H69" i="2"/>
  <c r="H68" i="2"/>
  <c r="I68" i="2" s="1"/>
  <c r="I67" i="2"/>
  <c r="H67" i="2"/>
  <c r="I66" i="2"/>
  <c r="H66" i="2"/>
  <c r="I65" i="2"/>
  <c r="H65" i="2"/>
  <c r="H64" i="2"/>
  <c r="I64" i="2" s="1"/>
  <c r="I63" i="2"/>
  <c r="H63" i="2"/>
  <c r="I62" i="2"/>
  <c r="H62" i="2"/>
  <c r="I61" i="2"/>
  <c r="H61" i="2"/>
  <c r="H60" i="2"/>
  <c r="I60" i="2" s="1"/>
  <c r="I59" i="2"/>
  <c r="H59" i="2"/>
  <c r="I58" i="2"/>
  <c r="H58" i="2"/>
  <c r="I57" i="2"/>
  <c r="H57" i="2"/>
  <c r="H56" i="2"/>
  <c r="I56" i="2" s="1"/>
  <c r="I55" i="2"/>
  <c r="H55" i="2"/>
  <c r="I54" i="2"/>
  <c r="H54" i="2"/>
  <c r="I53" i="2"/>
  <c r="H53" i="2"/>
  <c r="H52" i="2"/>
  <c r="I52" i="2" s="1"/>
  <c r="I51" i="2"/>
  <c r="H51" i="2"/>
  <c r="I50" i="2"/>
  <c r="H50" i="2"/>
  <c r="I49" i="2"/>
  <c r="H49" i="2"/>
  <c r="H48" i="2"/>
  <c r="I48" i="2" s="1"/>
  <c r="I47" i="2"/>
  <c r="H47" i="2"/>
  <c r="I46" i="2"/>
  <c r="H46" i="2"/>
  <c r="I45" i="2"/>
  <c r="H45" i="2"/>
  <c r="H44" i="2"/>
  <c r="I44" i="2" s="1"/>
  <c r="I43" i="2"/>
  <c r="H43" i="2"/>
  <c r="I42" i="2"/>
  <c r="H42" i="2"/>
  <c r="I41" i="2"/>
  <c r="H41" i="2"/>
  <c r="H40" i="2"/>
  <c r="I40" i="2" s="1"/>
  <c r="I39" i="2"/>
  <c r="H39" i="2"/>
  <c r="I38" i="2"/>
  <c r="H38" i="2"/>
  <c r="I37" i="2"/>
  <c r="H37" i="2"/>
  <c r="H36" i="2"/>
  <c r="I36" i="2" s="1"/>
  <c r="I35" i="2"/>
  <c r="H35" i="2"/>
  <c r="I34" i="2"/>
  <c r="H34" i="2"/>
  <c r="I33" i="2"/>
  <c r="H33" i="2"/>
  <c r="H32" i="2"/>
  <c r="I32" i="2" s="1"/>
  <c r="I31" i="2"/>
  <c r="H31" i="2"/>
  <c r="I30" i="2"/>
  <c r="H30" i="2"/>
  <c r="I29" i="2"/>
  <c r="H29" i="2"/>
  <c r="H28" i="2"/>
  <c r="I28" i="2" s="1"/>
  <c r="I27" i="2"/>
  <c r="H27" i="2"/>
  <c r="I26" i="2"/>
  <c r="H26" i="2"/>
  <c r="I25" i="2"/>
  <c r="H25" i="2"/>
  <c r="H24" i="2"/>
  <c r="I24" i="2" s="1"/>
  <c r="I23" i="2"/>
  <c r="H23" i="2"/>
  <c r="I22" i="2"/>
  <c r="H22" i="2"/>
  <c r="I21" i="2"/>
  <c r="H21" i="2"/>
  <c r="H20" i="2"/>
  <c r="I20" i="2" s="1"/>
  <c r="I19" i="2"/>
  <c r="H19" i="2"/>
  <c r="I18" i="2"/>
  <c r="H18" i="2"/>
  <c r="I17" i="2"/>
  <c r="H17" i="2"/>
  <c r="H16" i="2"/>
  <c r="I16" i="2" s="1"/>
  <c r="I15" i="2"/>
  <c r="H15" i="2"/>
  <c r="H3" i="2"/>
  <c r="I3" i="2" s="1"/>
  <c r="H4" i="2"/>
  <c r="I4" i="2" s="1"/>
  <c r="H5" i="2"/>
  <c r="I5" i="2"/>
  <c r="H6" i="2"/>
  <c r="I6" i="2" s="1"/>
  <c r="H7" i="2"/>
  <c r="I7" i="2"/>
  <c r="H8" i="2"/>
  <c r="I8" i="2"/>
  <c r="H9" i="2"/>
  <c r="I9" i="2" s="1"/>
  <c r="H10" i="2"/>
  <c r="I10" i="2"/>
  <c r="H11" i="2"/>
  <c r="I11" i="2" s="1"/>
  <c r="H12" i="2"/>
  <c r="I12" i="2" s="1"/>
  <c r="H13" i="2"/>
  <c r="I13" i="2" s="1"/>
  <c r="H14" i="2"/>
  <c r="I14" i="2"/>
  <c r="I2" i="2"/>
  <c r="H2" i="2"/>
  <c r="F221" i="2"/>
  <c r="F220" i="2"/>
  <c r="F219" i="2"/>
  <c r="F218" i="2"/>
</calcChain>
</file>

<file path=xl/sharedStrings.xml><?xml version="1.0" encoding="utf-8"?>
<sst xmlns="http://schemas.openxmlformats.org/spreadsheetml/2006/main" count="3259" uniqueCount="135">
  <si>
    <t>Grupo</t>
  </si>
  <si>
    <t>Subgrupo</t>
  </si>
  <si>
    <t>Descripción</t>
  </si>
  <si>
    <t>Arroz blanco con grano medio y largo. Crudo, precocido y/o enriquecido.</t>
  </si>
  <si>
    <t>Maíz crudo blanco, amarillo y tierno. Grano entero o trillado.</t>
  </si>
  <si>
    <t>Espaguetis, macarrones, pastas crudas y/o enriquecidas.</t>
  </si>
  <si>
    <t>Harinas de maíz, arroz, centeno, trigo, cebada y/o fortificada.</t>
  </si>
  <si>
    <t>Avena, cebada, cuchuco y quinua.</t>
  </si>
  <si>
    <t>Arracacha, ñame, yuca, jengibre, cúrcuma y harinas derivadas de estos alimentos.</t>
  </si>
  <si>
    <t>Toda variedad de papas y batatas.</t>
  </si>
  <si>
    <t>Toda variedad de plátanos y harinas de plátano.</t>
  </si>
  <si>
    <t>Harinas y/o almidones de yuca, ñame, plátano, arracacha, árbol del pan, entre otros.</t>
  </si>
  <si>
    <t>Frutas frescas, refrigeradas, congeladas o empacadas al vacío. Además, se incluyó el aguacate.</t>
  </si>
  <si>
    <t>Frutas frescas, refrigeradas, congeladas o empacadas al vacío.</t>
  </si>
  <si>
    <t>Aguacates y coco.</t>
  </si>
  <si>
    <t>Verduras frescas, refrigeradas, congeladas o empacadas al vacío declaradas como fuente de vitamina A.</t>
  </si>
  <si>
    <t>Verduras frescas, refrigeradas, congeladas o empacadas al vacío de hoja verde.</t>
  </si>
  <si>
    <t>Verduras frescas, refrigeradas, congeladas o empacadas al vacío.</t>
  </si>
  <si>
    <t>Leche bovina, bufalina y caprina con la grasa entera, pasteurizada, recombinada, restituida, tamizada, ultra pasteurizada líquida, ultra alta temperatura, esterilizada, en polvo y deslactosada.</t>
  </si>
  <si>
    <t>Leche bovina, bufalina y caprina semidescremada, pasteurizada, recombinada, restituida, tamizada, ultra pasteurizada líquida y ultra alta temperatura, esterilizada en polvo y deslactosada.</t>
  </si>
  <si>
    <t>Leche bovina, bufalina y caprina descremada, pasteurizada, recombinada, restituida, tamizada, ultra pasteurizada líquida, ultra alta temperatura, en polvo y deslactosada.</t>
  </si>
  <si>
    <t>Elaborada a partir de productos obtenidos de la leche con o sin modificaciones en su composición, por medio de la acción de microorganismos adecuados, como: leche fermentada, yogur, yogur con base a cultivos alternativos y leche acidófila, Kéfir y Kumis.</t>
  </si>
  <si>
    <t>Sueros, cuajadas y quesos frescos blandos y duros.</t>
  </si>
  <si>
    <t>Carnes frescas, refrigeradas o congeladas de todo tipo de pescados.</t>
  </si>
  <si>
    <t>Mariscos frescos, refrigerados o congelados de todo tipo.</t>
  </si>
  <si>
    <t>Huevos frescos procedentes de aves.</t>
  </si>
  <si>
    <t>Toda variedad de fríjol, lenteja, garbanzo, arveja y habas.</t>
  </si>
  <si>
    <t>Harina de fríjol, garbanzo, soya.</t>
  </si>
  <si>
    <t>Todo tipo de semillas secas y sin adición de sal y azúcar.</t>
  </si>
  <si>
    <t>Azúcar, miel de abeja y panela sin adición de colorantes y conservantes.</t>
  </si>
  <si>
    <t>Aceites vegetales.</t>
  </si>
  <si>
    <t>Crema de leche, mantequilla y manteca.</t>
  </si>
  <si>
    <t xml:space="preserve">Persona gr/día (neto) </t>
  </si>
  <si>
    <t>Persona gr/día (bruto)</t>
  </si>
  <si>
    <t>Alimento</t>
  </si>
  <si>
    <t>Cereales</t>
  </si>
  <si>
    <t>Frutas</t>
  </si>
  <si>
    <t>Raíces y tubérculos</t>
  </si>
  <si>
    <t>Verduras</t>
  </si>
  <si>
    <t>Lácteos y derivados</t>
  </si>
  <si>
    <t>Carnes blancas</t>
  </si>
  <si>
    <t>Pescados y mariscos</t>
  </si>
  <si>
    <t>Vísceras</t>
  </si>
  <si>
    <t>Leguminosas</t>
  </si>
  <si>
    <t>Frutos secos y semillas</t>
  </si>
  <si>
    <t>Grasas</t>
  </si>
  <si>
    <t>Ingredientes para bebidas</t>
  </si>
  <si>
    <t>Arroz</t>
  </si>
  <si>
    <t xml:space="preserve">Otros cereales </t>
  </si>
  <si>
    <t>Maiz</t>
  </si>
  <si>
    <t>Harinas y almidones</t>
  </si>
  <si>
    <t>Pasta</t>
  </si>
  <si>
    <t>Cereales, raíces, tubérculos y plátanos</t>
  </si>
  <si>
    <t>Plátanos</t>
  </si>
  <si>
    <t>Frutas y verduras</t>
  </si>
  <si>
    <t>Frutas fuente de Vit A</t>
  </si>
  <si>
    <t>Otras Frutas</t>
  </si>
  <si>
    <t>Frutas altas en grasa</t>
  </si>
  <si>
    <t>Verduras fuente de Vit A</t>
  </si>
  <si>
    <t>Verduras de hojas verdes</t>
  </si>
  <si>
    <t>Otras Verduras</t>
  </si>
  <si>
    <t>Lácteos líquidos</t>
  </si>
  <si>
    <t>Leche semidescremada 1.5-2 % de grasa</t>
  </si>
  <si>
    <t>Lácteos fermentados</t>
  </si>
  <si>
    <t>Lácteos sólidos</t>
  </si>
  <si>
    <t>Leche entera 3% de grasa en polvo</t>
  </si>
  <si>
    <t>Leches descremada 0,1-1,5 % de grasa en polvo</t>
  </si>
  <si>
    <t>Quesos</t>
  </si>
  <si>
    <t>Carnes, vísceras y huevos</t>
  </si>
  <si>
    <t>Carnes rojas</t>
  </si>
  <si>
    <t>Res</t>
  </si>
  <si>
    <t>Cerdo</t>
  </si>
  <si>
    <t>Ternera</t>
  </si>
  <si>
    <t>Cordero</t>
  </si>
  <si>
    <t>Pollo</t>
  </si>
  <si>
    <t>Aves</t>
  </si>
  <si>
    <t>Pavo</t>
  </si>
  <si>
    <t>Pescados</t>
  </si>
  <si>
    <t>Mariscos</t>
  </si>
  <si>
    <t>Huevos</t>
  </si>
  <si>
    <t>Leguminosas secas, frutos secos y semillas</t>
  </si>
  <si>
    <t>Harinas de Leguminosas</t>
  </si>
  <si>
    <t>Nueces</t>
  </si>
  <si>
    <t>Semillas</t>
  </si>
  <si>
    <t>Aceites vegetales</t>
  </si>
  <si>
    <t>Grasas animales</t>
  </si>
  <si>
    <t>Ingredientes culinarios</t>
  </si>
  <si>
    <t>Edulcorantes calóricos</t>
  </si>
  <si>
    <t>Café infusión, preparado con agua</t>
  </si>
  <si>
    <t>Café instantáneo, polvo</t>
  </si>
  <si>
    <t>Chocolate amargo, pastillas</t>
  </si>
  <si>
    <t>Té infusión, preparado</t>
  </si>
  <si>
    <t>Condimentos</t>
  </si>
  <si>
    <t>Hierbas y especias</t>
  </si>
  <si>
    <t>Sal de mesa</t>
  </si>
  <si>
    <t>Harinas y almidones de cereal</t>
  </si>
  <si>
    <t>Frutos de Arbol del pan</t>
  </si>
  <si>
    <t>Leche entera 3% de grasa liquida</t>
  </si>
  <si>
    <t>Leches descremada 0,1-1,5 % de grasa liquida</t>
  </si>
  <si>
    <t>Territorialidad Amazónica</t>
  </si>
  <si>
    <t>Territorialidad Andina Sur</t>
  </si>
  <si>
    <t>Territorialidad Costa y Sabana Caribe</t>
  </si>
  <si>
    <t>Territorialidad Cundiboyacense</t>
  </si>
  <si>
    <t>Territorialidad Depresión Momposina y Mojana</t>
  </si>
  <si>
    <t>Territorialidad Distrito Capital</t>
  </si>
  <si>
    <t>Territorialidad Eje Cafetero</t>
  </si>
  <si>
    <t>Territorialidad Insular Caribe</t>
  </si>
  <si>
    <t>Territorialidad Litoral Pacífico y Chocó</t>
  </si>
  <si>
    <t>Territorialidad Llanera</t>
  </si>
  <si>
    <t>Territorialidad Santanderes</t>
  </si>
  <si>
    <t>Territorialidad Magdalena Medio</t>
  </si>
  <si>
    <t>Territorialidad Tolima Grande</t>
  </si>
  <si>
    <t>Territorialidad</t>
  </si>
  <si>
    <t>Frutos de Árbol del pan.</t>
  </si>
  <si>
    <t>Raíces crudas</t>
  </si>
  <si>
    <t xml:space="preserve">Tubérculos </t>
  </si>
  <si>
    <t>Carnes frescas, refrigeradas o congeladas de res.</t>
  </si>
  <si>
    <t>Carnes frescas, refrigeradas o congeladas de cerdo.</t>
  </si>
  <si>
    <t>Carnes frescas, refrigeradas o congeladas de ternera.</t>
  </si>
  <si>
    <t>Carnes frescas, refrigeradas o congeladas de cordero.</t>
  </si>
  <si>
    <t>Carnes frescas, refrigeradas o congeladas de pollo.</t>
  </si>
  <si>
    <t>Carnes frescas, refrigeradas o congeladas de otra ave.</t>
  </si>
  <si>
    <t>Carnes frescas, refrigeradas o congeladas de pavo.</t>
  </si>
  <si>
    <t>Vísceras frescas, refrigeradas o congeladas de cerdo.</t>
  </si>
  <si>
    <t>Vísceras frescas, refrigeradas o congeladasde cordero.</t>
  </si>
  <si>
    <t>Vísceras frescas, refrigeradas o congeladas de pollo.</t>
  </si>
  <si>
    <t>Vísceras frescas, refrigeradas o congeladas de pavo.</t>
  </si>
  <si>
    <t>Todo tipo de nueces secas y sin adición de sal y azúcar.</t>
  </si>
  <si>
    <t>Fariña, almidón de yuca, casabe</t>
  </si>
  <si>
    <t>Frutas frescas, refrigeradas, congeladas o empacadas al vacío. (Arazá, carambolo, copoazú)</t>
  </si>
  <si>
    <t>Carnes frescas, refrigeradas o congeladas de todo tipo de pescados. (bagre, pirarucú, el dorado, doncella)</t>
  </si>
  <si>
    <t>Frutas frescas, refrigeradas, congeladas o empacadas al vacío. (Chontaduro, asaí, canagucho)</t>
  </si>
  <si>
    <t>Todo tipo de semillas secas y sin adición de sal y azúcar. (Macambo)</t>
  </si>
  <si>
    <t>Persona gr/semana</t>
  </si>
  <si>
    <t>Hogar kg/semana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</si>
</sst>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mbria"/>
      <family val="2"/>
      <scheme val="major"/>
    </font>
    <font>
      <sz val="11"/>
      <name val="Calibri"/>
      <family val="2"/>
      <scheme val="minor"/>
    </font>
    <font>
      <sz val="11"/>
      <color rgb="FF30303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5" fillId="0" borderId="0" xfId="0" applyFont="1"/>
    <xf numFmtId="0" fontId="0" fillId="0" borderId="1" xfId="0" applyBorder="1" applyAlignment="1">
      <alignment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3" fontId="4" fillId="0" borderId="0" xfId="0" applyNumberFormat="1" applyFont="1"/>
    <xf numFmtId="0" fontId="0" fillId="2" borderId="0" xfId="0" applyFill="1"/>
    <xf numFmtId="0" fontId="0" fillId="3" borderId="0" xfId="0" applyFill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arah_ortiz_udea_edu_co/Documents/NECESIDADES%20GABA%202024/3.ALIMENTOS%20Y%20ADECUACI&#211;N/Adecuaciones%20de%20kcal,%20macronutrientes%20y%20micronutrientes%20por%20territorialidades.xlsx" TargetMode="External"/><Relationship Id="rId2" Type="http://schemas.openxmlformats.org/officeDocument/2006/relationships/externalLinkPath" Target="file:///C:\Users\USER\OneDrive%20-%20Universidad%20de%20Antioquia\NECESIDADES%20GABA%202024\3.ALIMENTOS%20Y%20ADECUACI&#211;N\Adecuaciones%20de%20kcal,%20macronutrientes%20y%20micronutrientes%20por%20territorialidades.xlsx" TargetMode="External"/><Relationship Id="rId1" Type="http://schemas.openxmlformats.org/officeDocument/2006/relationships/externalLinkPath" Target="/personal/sarah_ortiz_udea_edu_co/Documents/NECESIDADES%20GABA%202024/3.ALIMENTOS%20Y%20ADECUACI&#211;N/Adecuaciones%20de%20kcal,%20macronutrientes%20y%20micronutrientes%20por%20territorialidad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Tablas resumen"/>
      <sheetName val="Amazonica"/>
      <sheetName val="Andina sur"/>
      <sheetName val="Costa y sabana caribe"/>
      <sheetName val="Cundiboyacense"/>
      <sheetName val="Depresión momposina"/>
      <sheetName val="Distrito capital"/>
      <sheetName val="Eje cafetero"/>
      <sheetName val="Insular Caribe"/>
      <sheetName val="Litoral Pacífico"/>
      <sheetName val="Llanero"/>
      <sheetName val="Magdalena medio"/>
      <sheetName val="Santanderes"/>
      <sheetName val="Tolima Gran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D6">
            <v>40</v>
          </cell>
        </row>
        <row r="32">
          <cell r="D32">
            <v>70</v>
          </cell>
        </row>
        <row r="34">
          <cell r="D34">
            <v>0</v>
          </cell>
        </row>
        <row r="35">
          <cell r="D35">
            <v>0</v>
          </cell>
        </row>
        <row r="37">
          <cell r="D37">
            <v>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C8F53-6195-4FA6-89C2-88D5BCD9DBFE}">
  <dimension ref="A1:AB651"/>
  <sheetViews>
    <sheetView tabSelected="1" topLeftCell="E1" workbookViewId="0">
      <selection activeCell="H11" sqref="H11"/>
    </sheetView>
  </sheetViews>
  <sheetFormatPr baseColWidth="10" defaultRowHeight="14.5" x14ac:dyDescent="0.35"/>
  <cols>
    <col min="1" max="1" width="39.453125" style="1" customWidth="1"/>
    <col min="2" max="2" width="58.36328125" style="1" customWidth="1"/>
    <col min="3" max="3" width="42.26953125" style="1" customWidth="1"/>
    <col min="4" max="5" width="48.1796875" style="1" customWidth="1"/>
    <col min="6" max="6" width="19.1796875" style="1" bestFit="1" customWidth="1"/>
    <col min="7" max="7" width="20" style="1" bestFit="1" customWidth="1"/>
    <col min="8" max="16384" width="10.90625" style="1"/>
  </cols>
  <sheetData>
    <row r="1" spans="1:28" ht="29.5" thickBot="1" x14ac:dyDescent="0.4">
      <c r="A1" s="2" t="s">
        <v>112</v>
      </c>
      <c r="B1" s="1" t="s">
        <v>0</v>
      </c>
      <c r="C1" s="1" t="s">
        <v>1</v>
      </c>
      <c r="D1" s="1" t="s">
        <v>34</v>
      </c>
      <c r="E1" s="1" t="s">
        <v>2</v>
      </c>
      <c r="F1" s="3" t="s">
        <v>32</v>
      </c>
      <c r="G1" s="4" t="s">
        <v>33</v>
      </c>
      <c r="H1" s="4" t="s">
        <v>133</v>
      </c>
      <c r="I1" s="16" t="s">
        <v>134</v>
      </c>
    </row>
    <row r="2" spans="1:28" ht="15" thickBot="1" x14ac:dyDescent="0.4">
      <c r="A2" s="5" t="s">
        <v>99</v>
      </c>
      <c r="B2" s="7" t="s">
        <v>52</v>
      </c>
      <c r="C2" s="7" t="s">
        <v>35</v>
      </c>
      <c r="D2" s="8" t="s">
        <v>47</v>
      </c>
      <c r="E2" t="s">
        <v>3</v>
      </c>
      <c r="F2" s="5">
        <v>30</v>
      </c>
      <c r="G2" s="5">
        <v>30</v>
      </c>
      <c r="H2" s="7">
        <f>G2*7</f>
        <v>210</v>
      </c>
      <c r="I2" s="7">
        <f>H2*2.9/(1000)</f>
        <v>0.60899999999999999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t="15" thickBot="1" x14ac:dyDescent="0.4">
      <c r="A3" s="5" t="s">
        <v>99</v>
      </c>
      <c r="B3" s="7" t="s">
        <v>52</v>
      </c>
      <c r="C3" s="7" t="s">
        <v>35</v>
      </c>
      <c r="D3" s="8" t="s">
        <v>48</v>
      </c>
      <c r="E3" t="s">
        <v>7</v>
      </c>
      <c r="F3" s="5">
        <v>5</v>
      </c>
      <c r="G3" s="5">
        <v>6</v>
      </c>
      <c r="H3" s="7">
        <f t="shared" ref="H3:H66" si="0">G3*7</f>
        <v>42</v>
      </c>
      <c r="I3" s="7">
        <f t="shared" ref="I3:I66" si="1">H3*2.9/(1000)</f>
        <v>0.12179999999999999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5" thickBot="1" x14ac:dyDescent="0.4">
      <c r="A4" s="5" t="s">
        <v>99</v>
      </c>
      <c r="B4" s="7" t="s">
        <v>52</v>
      </c>
      <c r="C4" s="7" t="s">
        <v>35</v>
      </c>
      <c r="D4" s="8" t="s">
        <v>49</v>
      </c>
      <c r="E4" t="s">
        <v>4</v>
      </c>
      <c r="F4" s="5">
        <v>30</v>
      </c>
      <c r="G4" s="5">
        <v>30</v>
      </c>
      <c r="H4" s="7">
        <f t="shared" si="0"/>
        <v>210</v>
      </c>
      <c r="I4" s="7">
        <f t="shared" si="1"/>
        <v>0.60899999999999999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ht="15" thickBot="1" x14ac:dyDescent="0.4">
      <c r="A5" s="5" t="s">
        <v>99</v>
      </c>
      <c r="B5" s="7" t="s">
        <v>52</v>
      </c>
      <c r="C5" s="7" t="s">
        <v>35</v>
      </c>
      <c r="D5" s="8" t="s">
        <v>95</v>
      </c>
      <c r="E5" t="s">
        <v>6</v>
      </c>
      <c r="F5" s="5">
        <v>5</v>
      </c>
      <c r="G5" s="5">
        <v>5</v>
      </c>
      <c r="H5" s="7">
        <f t="shared" si="0"/>
        <v>35</v>
      </c>
      <c r="I5" s="7">
        <f t="shared" si="1"/>
        <v>0.10150000000000001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ht="15" thickBot="1" x14ac:dyDescent="0.4">
      <c r="A6" s="5" t="s">
        <v>99</v>
      </c>
      <c r="B6" s="7" t="s">
        <v>52</v>
      </c>
      <c r="C6" s="7" t="s">
        <v>35</v>
      </c>
      <c r="D6" s="8" t="s">
        <v>51</v>
      </c>
      <c r="E6" t="s">
        <v>5</v>
      </c>
      <c r="F6" s="5">
        <v>0</v>
      </c>
      <c r="G6" s="5">
        <v>0</v>
      </c>
      <c r="H6" s="7">
        <f t="shared" si="0"/>
        <v>0</v>
      </c>
      <c r="I6" s="7">
        <f t="shared" si="1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t="15" thickBot="1" x14ac:dyDescent="0.4">
      <c r="A7" s="5" t="s">
        <v>99</v>
      </c>
      <c r="B7" s="7" t="s">
        <v>52</v>
      </c>
      <c r="C7" s="7" t="s">
        <v>37</v>
      </c>
      <c r="D7" s="9" t="s">
        <v>114</v>
      </c>
      <c r="E7" t="s">
        <v>8</v>
      </c>
      <c r="F7" s="5">
        <v>160</v>
      </c>
      <c r="G7" s="5">
        <v>186</v>
      </c>
      <c r="H7" s="7">
        <f t="shared" si="0"/>
        <v>1302</v>
      </c>
      <c r="I7" s="7">
        <f t="shared" si="1"/>
        <v>3.7757999999999998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t="15" thickBot="1" x14ac:dyDescent="0.4">
      <c r="A8" s="5" t="s">
        <v>99</v>
      </c>
      <c r="B8" s="7" t="s">
        <v>52</v>
      </c>
      <c r="C8" s="7" t="s">
        <v>37</v>
      </c>
      <c r="D8" s="8" t="s">
        <v>115</v>
      </c>
      <c r="E8" t="s">
        <v>9</v>
      </c>
      <c r="F8" s="5">
        <v>80</v>
      </c>
      <c r="G8" s="5">
        <v>94</v>
      </c>
      <c r="H8" s="7">
        <f t="shared" si="0"/>
        <v>658</v>
      </c>
      <c r="I8" s="7">
        <f t="shared" si="1"/>
        <v>1.9082000000000001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ht="15" thickBot="1" x14ac:dyDescent="0.4">
      <c r="A9" s="5" t="s">
        <v>99</v>
      </c>
      <c r="B9" s="7" t="s">
        <v>52</v>
      </c>
      <c r="C9" s="7" t="s">
        <v>37</v>
      </c>
      <c r="D9" s="10" t="s">
        <v>53</v>
      </c>
      <c r="E9" t="s">
        <v>10</v>
      </c>
      <c r="F9" s="5">
        <v>80</v>
      </c>
      <c r="G9" s="5">
        <v>127</v>
      </c>
      <c r="H9" s="7">
        <f t="shared" si="0"/>
        <v>889</v>
      </c>
      <c r="I9" s="7">
        <f t="shared" si="1"/>
        <v>2.5781000000000001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ht="15" thickBot="1" x14ac:dyDescent="0.4">
      <c r="A10" s="5" t="s">
        <v>99</v>
      </c>
      <c r="B10" s="7" t="s">
        <v>52</v>
      </c>
      <c r="C10" s="7" t="s">
        <v>37</v>
      </c>
      <c r="D10" s="10" t="s">
        <v>96</v>
      </c>
      <c r="E10" t="s">
        <v>113</v>
      </c>
      <c r="F10" s="5">
        <v>0</v>
      </c>
      <c r="G10" s="5">
        <v>0</v>
      </c>
      <c r="H10" s="7">
        <f t="shared" si="0"/>
        <v>0</v>
      </c>
      <c r="I10" s="7">
        <f t="shared" si="1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15" thickBot="1" x14ac:dyDescent="0.4">
      <c r="A11" s="5" t="s">
        <v>99</v>
      </c>
      <c r="B11" s="7" t="s">
        <v>52</v>
      </c>
      <c r="C11" s="7" t="s">
        <v>37</v>
      </c>
      <c r="D11" s="10" t="s">
        <v>50</v>
      </c>
      <c r="E11" s="14" t="s">
        <v>128</v>
      </c>
      <c r="F11" s="5">
        <v>30</v>
      </c>
      <c r="G11" s="5">
        <v>30</v>
      </c>
      <c r="H11" s="7">
        <f t="shared" si="0"/>
        <v>210</v>
      </c>
      <c r="I11" s="7">
        <f t="shared" si="1"/>
        <v>0.60899999999999999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15" thickBot="1" x14ac:dyDescent="0.4">
      <c r="A12" s="5" t="s">
        <v>99</v>
      </c>
      <c r="B12" s="7" t="s">
        <v>54</v>
      </c>
      <c r="C12" s="7" t="s">
        <v>36</v>
      </c>
      <c r="D12" s="8" t="s">
        <v>55</v>
      </c>
      <c r="E12" s="15" t="s">
        <v>131</v>
      </c>
      <c r="F12" s="5">
        <v>80</v>
      </c>
      <c r="G12" s="5">
        <v>94</v>
      </c>
      <c r="H12" s="7">
        <f t="shared" si="0"/>
        <v>658</v>
      </c>
      <c r="I12" s="7">
        <f t="shared" si="1"/>
        <v>1.9082000000000001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15" thickBot="1" x14ac:dyDescent="0.4">
      <c r="A13" s="5" t="s">
        <v>99</v>
      </c>
      <c r="B13" s="7" t="s">
        <v>54</v>
      </c>
      <c r="C13" s="7" t="s">
        <v>36</v>
      </c>
      <c r="D13" s="8" t="s">
        <v>56</v>
      </c>
      <c r="E13" s="15" t="s">
        <v>129</v>
      </c>
      <c r="F13" s="5">
        <v>100</v>
      </c>
      <c r="G13" s="5">
        <v>128</v>
      </c>
      <c r="H13" s="7">
        <f t="shared" si="0"/>
        <v>896</v>
      </c>
      <c r="I13" s="7">
        <f t="shared" si="1"/>
        <v>2.5984000000000003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15" thickBot="1" x14ac:dyDescent="0.4">
      <c r="A14" s="5" t="s">
        <v>99</v>
      </c>
      <c r="B14" s="7" t="s">
        <v>54</v>
      </c>
      <c r="C14" s="7" t="s">
        <v>36</v>
      </c>
      <c r="D14" s="8" t="s">
        <v>57</v>
      </c>
      <c r="E14" t="s">
        <v>14</v>
      </c>
      <c r="F14" s="5">
        <v>10</v>
      </c>
      <c r="G14" s="5">
        <v>13</v>
      </c>
      <c r="H14" s="7">
        <f t="shared" si="0"/>
        <v>91</v>
      </c>
      <c r="I14" s="7">
        <f t="shared" si="1"/>
        <v>0.26389999999999997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" thickBot="1" x14ac:dyDescent="0.4">
      <c r="A15" s="5" t="s">
        <v>99</v>
      </c>
      <c r="B15" s="7" t="s">
        <v>54</v>
      </c>
      <c r="C15" s="7" t="s">
        <v>38</v>
      </c>
      <c r="D15" s="8" t="s">
        <v>58</v>
      </c>
      <c r="E15" t="s">
        <v>15</v>
      </c>
      <c r="F15" s="5">
        <v>80</v>
      </c>
      <c r="G15" s="5">
        <v>123</v>
      </c>
      <c r="H15" s="7">
        <f t="shared" si="0"/>
        <v>861</v>
      </c>
      <c r="I15" s="7">
        <f t="shared" si="1"/>
        <v>2.4969000000000001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" thickBot="1" x14ac:dyDescent="0.4">
      <c r="A16" s="5" t="s">
        <v>99</v>
      </c>
      <c r="B16" s="7" t="s">
        <v>54</v>
      </c>
      <c r="C16" s="7" t="s">
        <v>38</v>
      </c>
      <c r="D16" s="8" t="s">
        <v>59</v>
      </c>
      <c r="E16" t="s">
        <v>16</v>
      </c>
      <c r="F16" s="5">
        <v>40</v>
      </c>
      <c r="G16" s="5">
        <v>59</v>
      </c>
      <c r="H16" s="7">
        <f t="shared" si="0"/>
        <v>413</v>
      </c>
      <c r="I16" s="7">
        <f t="shared" si="1"/>
        <v>1.1977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" thickBot="1" x14ac:dyDescent="0.4">
      <c r="A17" s="5" t="s">
        <v>99</v>
      </c>
      <c r="B17" s="7" t="s">
        <v>54</v>
      </c>
      <c r="C17" s="7" t="s">
        <v>38</v>
      </c>
      <c r="D17" s="8" t="s">
        <v>60</v>
      </c>
      <c r="E17" t="s">
        <v>17</v>
      </c>
      <c r="F17" s="5">
        <v>80</v>
      </c>
      <c r="G17" s="5">
        <v>123</v>
      </c>
      <c r="H17" s="7">
        <f t="shared" si="0"/>
        <v>861</v>
      </c>
      <c r="I17" s="7">
        <f t="shared" si="1"/>
        <v>2.4969000000000001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" thickBot="1" x14ac:dyDescent="0.4">
      <c r="A18" s="5" t="s">
        <v>99</v>
      </c>
      <c r="B18" s="7" t="s">
        <v>39</v>
      </c>
      <c r="C18" s="7" t="s">
        <v>61</v>
      </c>
      <c r="D18" s="11" t="s">
        <v>97</v>
      </c>
      <c r="E18" t="s">
        <v>18</v>
      </c>
      <c r="F18" s="5">
        <v>90</v>
      </c>
      <c r="G18" s="5">
        <v>90</v>
      </c>
      <c r="H18" s="7">
        <f t="shared" si="0"/>
        <v>630</v>
      </c>
      <c r="I18" s="7">
        <f t="shared" si="1"/>
        <v>1.827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ht="15" thickBot="1" x14ac:dyDescent="0.4">
      <c r="A19" s="5" t="s">
        <v>99</v>
      </c>
      <c r="B19" s="7" t="s">
        <v>39</v>
      </c>
      <c r="C19" s="7" t="s">
        <v>61</v>
      </c>
      <c r="D19" s="11" t="s">
        <v>62</v>
      </c>
      <c r="E19" t="s">
        <v>19</v>
      </c>
      <c r="F19" s="5">
        <v>0</v>
      </c>
      <c r="G19" s="5">
        <v>0</v>
      </c>
      <c r="H19" s="7">
        <f t="shared" si="0"/>
        <v>0</v>
      </c>
      <c r="I19" s="7">
        <f t="shared" si="1"/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ht="15" thickBot="1" x14ac:dyDescent="0.4">
      <c r="A20" s="5" t="s">
        <v>99</v>
      </c>
      <c r="B20" s="7" t="s">
        <v>39</v>
      </c>
      <c r="C20" s="7" t="s">
        <v>61</v>
      </c>
      <c r="D20" s="11" t="s">
        <v>98</v>
      </c>
      <c r="E20" t="s">
        <v>20</v>
      </c>
      <c r="F20" s="5">
        <v>0</v>
      </c>
      <c r="G20" s="5">
        <v>0</v>
      </c>
      <c r="H20" s="7">
        <f t="shared" si="0"/>
        <v>0</v>
      </c>
      <c r="I20" s="7">
        <f t="shared" si="1"/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15" thickBot="1" x14ac:dyDescent="0.4">
      <c r="A21" s="5" t="s">
        <v>99</v>
      </c>
      <c r="B21" s="7" t="s">
        <v>39</v>
      </c>
      <c r="C21" s="7" t="s">
        <v>61</v>
      </c>
      <c r="D21" s="11" t="s">
        <v>63</v>
      </c>
      <c r="E21" t="s">
        <v>21</v>
      </c>
      <c r="F21" s="5">
        <v>40</v>
      </c>
      <c r="G21" s="5">
        <v>40</v>
      </c>
      <c r="H21" s="7">
        <f t="shared" si="0"/>
        <v>280</v>
      </c>
      <c r="I21" s="7">
        <f t="shared" si="1"/>
        <v>0.81200000000000006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ht="15" thickBot="1" x14ac:dyDescent="0.4">
      <c r="A22" s="5" t="s">
        <v>99</v>
      </c>
      <c r="B22" s="7" t="s">
        <v>39</v>
      </c>
      <c r="C22" s="7" t="s">
        <v>64</v>
      </c>
      <c r="D22" s="11" t="s">
        <v>65</v>
      </c>
      <c r="E22" t="s">
        <v>20</v>
      </c>
      <c r="F22" s="5">
        <v>0</v>
      </c>
      <c r="G22" s="5">
        <v>0</v>
      </c>
      <c r="H22" s="7">
        <f t="shared" si="0"/>
        <v>0</v>
      </c>
      <c r="I22" s="7">
        <f t="shared" si="1"/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ht="15" thickBot="1" x14ac:dyDescent="0.4">
      <c r="A23" s="5" t="s">
        <v>99</v>
      </c>
      <c r="B23" s="7" t="s">
        <v>39</v>
      </c>
      <c r="C23" s="7" t="s">
        <v>64</v>
      </c>
      <c r="D23" s="11" t="s">
        <v>66</v>
      </c>
      <c r="E23" t="s">
        <v>20</v>
      </c>
      <c r="F23" s="5">
        <v>0</v>
      </c>
      <c r="G23" s="5">
        <v>0</v>
      </c>
      <c r="H23" s="7">
        <f t="shared" si="0"/>
        <v>0</v>
      </c>
      <c r="I23" s="7">
        <f t="shared" si="1"/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ht="15" thickBot="1" x14ac:dyDescent="0.4">
      <c r="A24" s="5" t="s">
        <v>99</v>
      </c>
      <c r="B24" s="7" t="s">
        <v>39</v>
      </c>
      <c r="C24" s="7" t="s">
        <v>64</v>
      </c>
      <c r="D24" s="11" t="s">
        <v>67</v>
      </c>
      <c r="E24" t="s">
        <v>22</v>
      </c>
      <c r="F24" s="5">
        <v>15</v>
      </c>
      <c r="G24" s="5">
        <v>15</v>
      </c>
      <c r="H24" s="7">
        <f t="shared" si="0"/>
        <v>105</v>
      </c>
      <c r="I24" s="7">
        <f t="shared" si="1"/>
        <v>0.30449999999999999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ht="15" thickBot="1" x14ac:dyDescent="0.4">
      <c r="A25" s="5" t="s">
        <v>99</v>
      </c>
      <c r="B25" s="7" t="s">
        <v>68</v>
      </c>
      <c r="C25" s="7" t="s">
        <v>69</v>
      </c>
      <c r="D25" s="11" t="s">
        <v>70</v>
      </c>
      <c r="E25" t="s">
        <v>116</v>
      </c>
      <c r="F25" s="5">
        <v>2</v>
      </c>
      <c r="G25" s="5">
        <v>2</v>
      </c>
      <c r="H25" s="7">
        <f t="shared" si="0"/>
        <v>14</v>
      </c>
      <c r="I25" s="7">
        <f t="shared" si="1"/>
        <v>4.0600000000000004E-2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ht="15" thickBot="1" x14ac:dyDescent="0.4">
      <c r="A26" s="5" t="s">
        <v>99</v>
      </c>
      <c r="B26" s="7" t="s">
        <v>68</v>
      </c>
      <c r="C26" s="7" t="s">
        <v>69</v>
      </c>
      <c r="D26" s="11" t="s">
        <v>71</v>
      </c>
      <c r="E26" t="s">
        <v>117</v>
      </c>
      <c r="F26" s="5">
        <v>8</v>
      </c>
      <c r="G26" s="5">
        <v>10</v>
      </c>
      <c r="H26" s="7">
        <f t="shared" si="0"/>
        <v>70</v>
      </c>
      <c r="I26" s="7">
        <f t="shared" si="1"/>
        <v>0.20300000000000001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ht="15" thickBot="1" x14ac:dyDescent="0.4">
      <c r="A27" s="5" t="s">
        <v>99</v>
      </c>
      <c r="B27" s="7" t="s">
        <v>68</v>
      </c>
      <c r="C27" s="7" t="s">
        <v>69</v>
      </c>
      <c r="D27" s="11" t="s">
        <v>72</v>
      </c>
      <c r="E27" t="s">
        <v>118</v>
      </c>
      <c r="F27" s="5">
        <v>0</v>
      </c>
      <c r="G27" s="5">
        <v>0</v>
      </c>
      <c r="H27" s="7">
        <f t="shared" si="0"/>
        <v>0</v>
      </c>
      <c r="I27" s="7">
        <f t="shared" si="1"/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ht="15" thickBot="1" x14ac:dyDescent="0.4">
      <c r="A28" s="5" t="s">
        <v>99</v>
      </c>
      <c r="B28" s="7" t="s">
        <v>68</v>
      </c>
      <c r="C28" s="7" t="s">
        <v>69</v>
      </c>
      <c r="D28" s="11" t="s">
        <v>73</v>
      </c>
      <c r="E28" t="s">
        <v>119</v>
      </c>
      <c r="F28" s="5">
        <v>0</v>
      </c>
      <c r="G28" s="5">
        <v>0</v>
      </c>
      <c r="H28" s="7">
        <f t="shared" si="0"/>
        <v>0</v>
      </c>
      <c r="I28" s="7">
        <f t="shared" si="1"/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ht="15" thickBot="1" x14ac:dyDescent="0.4">
      <c r="A29" s="5" t="s">
        <v>99</v>
      </c>
      <c r="B29" s="7" t="s">
        <v>68</v>
      </c>
      <c r="C29" s="7" t="s">
        <v>40</v>
      </c>
      <c r="D29" s="11" t="s">
        <v>74</v>
      </c>
      <c r="E29" t="s">
        <v>120</v>
      </c>
      <c r="F29" s="5">
        <v>10</v>
      </c>
      <c r="G29" s="5">
        <v>15</v>
      </c>
      <c r="H29" s="7">
        <f t="shared" si="0"/>
        <v>105</v>
      </c>
      <c r="I29" s="7">
        <f t="shared" si="1"/>
        <v>0.30449999999999999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ht="15" thickBot="1" x14ac:dyDescent="0.4">
      <c r="A30" s="5" t="s">
        <v>99</v>
      </c>
      <c r="B30" s="7" t="s">
        <v>68</v>
      </c>
      <c r="C30" s="7" t="s">
        <v>40</v>
      </c>
      <c r="D30" s="11" t="s">
        <v>75</v>
      </c>
      <c r="E30" s="11" t="s">
        <v>121</v>
      </c>
      <c r="F30" s="5">
        <v>10</v>
      </c>
      <c r="G30" s="5">
        <v>15</v>
      </c>
      <c r="H30" s="7">
        <f t="shared" si="0"/>
        <v>105</v>
      </c>
      <c r="I30" s="7">
        <f t="shared" si="1"/>
        <v>0.30449999999999999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15" thickBot="1" x14ac:dyDescent="0.4">
      <c r="A31" s="5" t="s">
        <v>99</v>
      </c>
      <c r="B31" s="7" t="s">
        <v>68</v>
      </c>
      <c r="C31" s="7" t="s">
        <v>40</v>
      </c>
      <c r="D31" s="11" t="s">
        <v>76</v>
      </c>
      <c r="E31" s="11" t="s">
        <v>122</v>
      </c>
      <c r="F31" s="5">
        <v>0</v>
      </c>
      <c r="G31" s="5">
        <v>0</v>
      </c>
      <c r="H31" s="7">
        <f t="shared" si="0"/>
        <v>0</v>
      </c>
      <c r="I31" s="7">
        <f t="shared" si="1"/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15" thickBot="1" x14ac:dyDescent="0.4">
      <c r="A32" s="5" t="s">
        <v>99</v>
      </c>
      <c r="B32" s="7" t="s">
        <v>68</v>
      </c>
      <c r="C32" s="7" t="s">
        <v>41</v>
      </c>
      <c r="D32" s="11" t="s">
        <v>77</v>
      </c>
      <c r="E32" s="14" t="s">
        <v>130</v>
      </c>
      <c r="F32" s="5">
        <v>80</v>
      </c>
      <c r="G32" s="5">
        <v>94</v>
      </c>
      <c r="H32" s="7">
        <f t="shared" si="0"/>
        <v>658</v>
      </c>
      <c r="I32" s="7">
        <f t="shared" si="1"/>
        <v>1.9082000000000001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15" thickBot="1" x14ac:dyDescent="0.4">
      <c r="A33" s="5" t="s">
        <v>99</v>
      </c>
      <c r="B33" s="7" t="s">
        <v>68</v>
      </c>
      <c r="C33" s="7" t="s">
        <v>41</v>
      </c>
      <c r="D33" s="11" t="s">
        <v>78</v>
      </c>
      <c r="E33" t="s">
        <v>24</v>
      </c>
      <c r="F33" s="5">
        <v>0</v>
      </c>
      <c r="G33" s="5">
        <v>0</v>
      </c>
      <c r="H33" s="7">
        <f t="shared" si="0"/>
        <v>0</v>
      </c>
      <c r="I33" s="7">
        <f t="shared" si="1"/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ht="15" thickBot="1" x14ac:dyDescent="0.4">
      <c r="A34" s="5" t="s">
        <v>99</v>
      </c>
      <c r="B34" s="7" t="s">
        <v>68</v>
      </c>
      <c r="C34" s="7" t="s">
        <v>42</v>
      </c>
      <c r="D34" s="6" t="s">
        <v>71</v>
      </c>
      <c r="E34" t="s">
        <v>123</v>
      </c>
      <c r="F34" s="5">
        <v>5</v>
      </c>
      <c r="G34" s="5">
        <v>6</v>
      </c>
      <c r="H34" s="7">
        <f t="shared" si="0"/>
        <v>42</v>
      </c>
      <c r="I34" s="7">
        <f t="shared" si="1"/>
        <v>0.12179999999999999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spans="1:28" ht="15" thickBot="1" x14ac:dyDescent="0.4">
      <c r="A35" s="5" t="s">
        <v>99</v>
      </c>
      <c r="B35" s="7" t="s">
        <v>68</v>
      </c>
      <c r="C35" s="7" t="s">
        <v>42</v>
      </c>
      <c r="D35" s="6" t="s">
        <v>73</v>
      </c>
      <c r="E35" t="s">
        <v>124</v>
      </c>
      <c r="F35" s="5">
        <v>0</v>
      </c>
      <c r="G35" s="5">
        <v>0</v>
      </c>
      <c r="H35" s="7">
        <f t="shared" si="0"/>
        <v>0</v>
      </c>
      <c r="I35" s="7">
        <f t="shared" si="1"/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1:28" ht="15" thickBot="1" x14ac:dyDescent="0.4">
      <c r="A36" s="5" t="s">
        <v>99</v>
      </c>
      <c r="B36" s="7" t="s">
        <v>68</v>
      </c>
      <c r="C36" s="7" t="s">
        <v>42</v>
      </c>
      <c r="D36" s="6" t="s">
        <v>74</v>
      </c>
      <c r="E36" t="s">
        <v>125</v>
      </c>
      <c r="F36" s="5">
        <v>5</v>
      </c>
      <c r="G36" s="5">
        <v>6</v>
      </c>
      <c r="H36" s="7">
        <f t="shared" si="0"/>
        <v>42</v>
      </c>
      <c r="I36" s="7">
        <f t="shared" si="1"/>
        <v>0.12179999999999999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spans="1:28" ht="15" thickBot="1" x14ac:dyDescent="0.4">
      <c r="A37" s="5" t="s">
        <v>99</v>
      </c>
      <c r="B37" s="7" t="s">
        <v>68</v>
      </c>
      <c r="C37" s="7" t="s">
        <v>42</v>
      </c>
      <c r="D37" s="6" t="s">
        <v>76</v>
      </c>
      <c r="E37" t="s">
        <v>126</v>
      </c>
      <c r="F37" s="5">
        <v>0</v>
      </c>
      <c r="G37" s="5">
        <v>0</v>
      </c>
      <c r="H37" s="7">
        <f t="shared" si="0"/>
        <v>0</v>
      </c>
      <c r="I37" s="7">
        <f t="shared" si="1"/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spans="1:28" ht="15" thickBot="1" x14ac:dyDescent="0.4">
      <c r="A38" s="5" t="s">
        <v>99</v>
      </c>
      <c r="B38" s="7" t="s">
        <v>68</v>
      </c>
      <c r="C38" s="7" t="s">
        <v>79</v>
      </c>
      <c r="D38" s="11" t="s">
        <v>79</v>
      </c>
      <c r="E38" t="s">
        <v>25</v>
      </c>
      <c r="F38" s="5">
        <v>25</v>
      </c>
      <c r="G38" s="5">
        <v>28</v>
      </c>
      <c r="H38" s="7">
        <f t="shared" si="0"/>
        <v>196</v>
      </c>
      <c r="I38" s="7">
        <f t="shared" si="1"/>
        <v>0.56840000000000002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spans="1:28" ht="15" thickBot="1" x14ac:dyDescent="0.4">
      <c r="A39" s="5" t="s">
        <v>99</v>
      </c>
      <c r="B39" s="7" t="s">
        <v>80</v>
      </c>
      <c r="C39" s="7" t="s">
        <v>43</v>
      </c>
      <c r="D39" s="11" t="s">
        <v>43</v>
      </c>
      <c r="E39" t="s">
        <v>26</v>
      </c>
      <c r="F39" s="5">
        <v>80</v>
      </c>
      <c r="G39" s="5">
        <v>80</v>
      </c>
      <c r="H39" s="7">
        <f t="shared" si="0"/>
        <v>560</v>
      </c>
      <c r="I39" s="7">
        <f t="shared" si="1"/>
        <v>1.6240000000000001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spans="1:28" ht="15" thickBot="1" x14ac:dyDescent="0.4">
      <c r="A40" s="5" t="s">
        <v>99</v>
      </c>
      <c r="B40" s="7" t="s">
        <v>80</v>
      </c>
      <c r="C40" s="7" t="s">
        <v>43</v>
      </c>
      <c r="D40" s="11" t="s">
        <v>81</v>
      </c>
      <c r="E40" t="s">
        <v>27</v>
      </c>
      <c r="F40" s="5">
        <v>0</v>
      </c>
      <c r="G40" s="5">
        <v>0</v>
      </c>
      <c r="H40" s="7">
        <f t="shared" si="0"/>
        <v>0</v>
      </c>
      <c r="I40" s="7">
        <f t="shared" si="1"/>
        <v>0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spans="1:28" ht="15" thickBot="1" x14ac:dyDescent="0.4">
      <c r="A41" s="5" t="s">
        <v>99</v>
      </c>
      <c r="B41" s="7" t="s">
        <v>80</v>
      </c>
      <c r="C41" s="7" t="s">
        <v>44</v>
      </c>
      <c r="D41" s="11" t="s">
        <v>82</v>
      </c>
      <c r="E41" s="15" t="s">
        <v>127</v>
      </c>
      <c r="F41" s="5">
        <v>50</v>
      </c>
      <c r="G41" s="5">
        <v>62</v>
      </c>
      <c r="H41" s="7">
        <f t="shared" si="0"/>
        <v>434</v>
      </c>
      <c r="I41" s="7">
        <f t="shared" si="1"/>
        <v>1.2585999999999999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spans="1:28" ht="15" thickBot="1" x14ac:dyDescent="0.4">
      <c r="A42" s="5" t="s">
        <v>99</v>
      </c>
      <c r="B42" s="7" t="s">
        <v>80</v>
      </c>
      <c r="C42" s="7" t="s">
        <v>44</v>
      </c>
      <c r="D42" s="11" t="s">
        <v>83</v>
      </c>
      <c r="E42" s="15" t="s">
        <v>132</v>
      </c>
      <c r="F42" s="5">
        <v>20</v>
      </c>
      <c r="G42" s="5">
        <v>24</v>
      </c>
      <c r="H42" s="7">
        <f t="shared" si="0"/>
        <v>168</v>
      </c>
      <c r="I42" s="7">
        <f t="shared" si="1"/>
        <v>0.48719999999999997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ht="15" thickBot="1" x14ac:dyDescent="0.4">
      <c r="A43" s="5" t="s">
        <v>99</v>
      </c>
      <c r="B43" s="7" t="s">
        <v>45</v>
      </c>
      <c r="C43" s="7" t="s">
        <v>84</v>
      </c>
      <c r="D43" t="s">
        <v>84</v>
      </c>
      <c r="E43" t="s">
        <v>30</v>
      </c>
      <c r="F43" s="5">
        <v>5</v>
      </c>
      <c r="G43" s="5">
        <v>5</v>
      </c>
      <c r="H43" s="7">
        <f t="shared" si="0"/>
        <v>35</v>
      </c>
      <c r="I43" s="7">
        <f t="shared" si="1"/>
        <v>0.10150000000000001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spans="1:28" ht="15" thickBot="1" x14ac:dyDescent="0.4">
      <c r="A44" s="5" t="s">
        <v>99</v>
      </c>
      <c r="B44" s="7" t="s">
        <v>45</v>
      </c>
      <c r="C44" s="7" t="s">
        <v>85</v>
      </c>
      <c r="D44" t="s">
        <v>85</v>
      </c>
      <c r="E44" t="s">
        <v>31</v>
      </c>
      <c r="F44" s="5">
        <v>5</v>
      </c>
      <c r="G44" s="5">
        <v>5</v>
      </c>
      <c r="H44" s="7">
        <f t="shared" si="0"/>
        <v>35</v>
      </c>
      <c r="I44" s="7">
        <f t="shared" si="1"/>
        <v>0.10150000000000001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ht="15" thickBot="1" x14ac:dyDescent="0.4">
      <c r="A45" s="5" t="s">
        <v>99</v>
      </c>
      <c r="B45" s="7" t="s">
        <v>86</v>
      </c>
      <c r="C45" s="7" t="s">
        <v>87</v>
      </c>
      <c r="D45" s="11" t="s">
        <v>87</v>
      </c>
      <c r="E45" t="s">
        <v>29</v>
      </c>
      <c r="F45" s="5">
        <v>46</v>
      </c>
      <c r="G45" s="5">
        <v>46</v>
      </c>
      <c r="H45" s="7">
        <f t="shared" si="0"/>
        <v>322</v>
      </c>
      <c r="I45" s="7">
        <f t="shared" si="1"/>
        <v>0.93379999999999996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5" thickBot="1" x14ac:dyDescent="0.4">
      <c r="A46" s="5" t="s">
        <v>99</v>
      </c>
      <c r="B46" s="7" t="s">
        <v>86</v>
      </c>
      <c r="C46" s="7" t="s">
        <v>46</v>
      </c>
      <c r="D46" s="11" t="s">
        <v>88</v>
      </c>
      <c r="E46" s="11" t="s">
        <v>88</v>
      </c>
      <c r="F46" s="5">
        <v>5</v>
      </c>
      <c r="G46" s="5">
        <v>5</v>
      </c>
      <c r="H46" s="7">
        <f t="shared" si="0"/>
        <v>35</v>
      </c>
      <c r="I46" s="7">
        <f t="shared" si="1"/>
        <v>0.10150000000000001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" thickBot="1" x14ac:dyDescent="0.4">
      <c r="A47" s="5" t="s">
        <v>99</v>
      </c>
      <c r="B47" s="7" t="s">
        <v>86</v>
      </c>
      <c r="C47" s="7" t="s">
        <v>46</v>
      </c>
      <c r="D47" s="11" t="s">
        <v>89</v>
      </c>
      <c r="E47" s="11" t="s">
        <v>89</v>
      </c>
      <c r="F47" s="5">
        <v>0</v>
      </c>
      <c r="G47" s="5">
        <v>0</v>
      </c>
      <c r="H47" s="7">
        <f t="shared" si="0"/>
        <v>0</v>
      </c>
      <c r="I47" s="7">
        <f t="shared" si="1"/>
        <v>0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ht="15" thickBot="1" x14ac:dyDescent="0.4">
      <c r="A48" s="5" t="s">
        <v>99</v>
      </c>
      <c r="B48" s="7" t="s">
        <v>86</v>
      </c>
      <c r="C48" s="7" t="s">
        <v>46</v>
      </c>
      <c r="D48" s="11" t="s">
        <v>90</v>
      </c>
      <c r="E48" s="11" t="s">
        <v>90</v>
      </c>
      <c r="F48" s="5">
        <v>20</v>
      </c>
      <c r="G48" s="5">
        <v>20</v>
      </c>
      <c r="H48" s="7">
        <f t="shared" si="0"/>
        <v>140</v>
      </c>
      <c r="I48" s="7">
        <f t="shared" si="1"/>
        <v>0.40600000000000003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ht="15" thickBot="1" x14ac:dyDescent="0.4">
      <c r="A49" s="5" t="s">
        <v>99</v>
      </c>
      <c r="B49" s="7" t="s">
        <v>86</v>
      </c>
      <c r="C49" s="7" t="s">
        <v>46</v>
      </c>
      <c r="D49" s="11" t="s">
        <v>91</v>
      </c>
      <c r="E49" s="11" t="s">
        <v>91</v>
      </c>
      <c r="F49" s="5">
        <v>5</v>
      </c>
      <c r="G49" s="5">
        <v>5</v>
      </c>
      <c r="H49" s="7">
        <f t="shared" si="0"/>
        <v>35</v>
      </c>
      <c r="I49" s="7">
        <f t="shared" si="1"/>
        <v>0.10150000000000001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ht="15" thickBot="1" x14ac:dyDescent="0.4">
      <c r="A50" s="5" t="s">
        <v>99</v>
      </c>
      <c r="B50" s="7" t="s">
        <v>86</v>
      </c>
      <c r="C50" s="7" t="s">
        <v>92</v>
      </c>
      <c r="D50" t="s">
        <v>93</v>
      </c>
      <c r="E50" t="s">
        <v>93</v>
      </c>
      <c r="F50" s="5">
        <v>8</v>
      </c>
      <c r="G50" s="5">
        <v>9</v>
      </c>
      <c r="H50" s="7">
        <f t="shared" si="0"/>
        <v>63</v>
      </c>
      <c r="I50" s="7">
        <f t="shared" si="1"/>
        <v>0.1827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ht="15" thickBot="1" x14ac:dyDescent="0.4">
      <c r="A51" s="5" t="s">
        <v>99</v>
      </c>
      <c r="B51" s="7" t="s">
        <v>86</v>
      </c>
      <c r="C51" s="7" t="s">
        <v>92</v>
      </c>
      <c r="D51" t="s">
        <v>94</v>
      </c>
      <c r="E51" t="s">
        <v>94</v>
      </c>
      <c r="F51" s="5">
        <v>3</v>
      </c>
      <c r="G51" s="5">
        <v>3</v>
      </c>
      <c r="H51" s="7">
        <f t="shared" si="0"/>
        <v>21</v>
      </c>
      <c r="I51" s="7">
        <f t="shared" si="1"/>
        <v>6.0899999999999996E-2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ht="15" thickBot="1" x14ac:dyDescent="0.4">
      <c r="A52" s="5" t="s">
        <v>100</v>
      </c>
      <c r="B52" s="7" t="s">
        <v>52</v>
      </c>
      <c r="C52" s="7" t="s">
        <v>35</v>
      </c>
      <c r="D52" s="8" t="s">
        <v>47</v>
      </c>
      <c r="E52" t="s">
        <v>3</v>
      </c>
      <c r="F52" s="5">
        <v>30</v>
      </c>
      <c r="G52" s="5">
        <v>30</v>
      </c>
      <c r="H52" s="7">
        <f t="shared" si="0"/>
        <v>210</v>
      </c>
      <c r="I52" s="7">
        <f t="shared" si="1"/>
        <v>0.60899999999999999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ht="15" thickBot="1" x14ac:dyDescent="0.4">
      <c r="A53" s="5" t="s">
        <v>100</v>
      </c>
      <c r="B53" s="7" t="s">
        <v>52</v>
      </c>
      <c r="C53" s="7" t="s">
        <v>35</v>
      </c>
      <c r="D53" s="8" t="s">
        <v>48</v>
      </c>
      <c r="E53" t="s">
        <v>7</v>
      </c>
      <c r="F53" s="5">
        <v>5</v>
      </c>
      <c r="G53" s="5">
        <v>6</v>
      </c>
      <c r="H53" s="7">
        <f t="shared" si="0"/>
        <v>42</v>
      </c>
      <c r="I53" s="7">
        <f t="shared" si="1"/>
        <v>0.12179999999999999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ht="15" thickBot="1" x14ac:dyDescent="0.4">
      <c r="A54" s="5" t="s">
        <v>100</v>
      </c>
      <c r="B54" s="7" t="s">
        <v>52</v>
      </c>
      <c r="C54" s="7" t="s">
        <v>35</v>
      </c>
      <c r="D54" s="8" t="s">
        <v>49</v>
      </c>
      <c r="E54" t="s">
        <v>4</v>
      </c>
      <c r="F54" s="5">
        <v>40</v>
      </c>
      <c r="G54" s="5">
        <v>40</v>
      </c>
      <c r="H54" s="7">
        <f t="shared" si="0"/>
        <v>280</v>
      </c>
      <c r="I54" s="7">
        <f t="shared" si="1"/>
        <v>0.81200000000000006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ht="15" thickBot="1" x14ac:dyDescent="0.4">
      <c r="A55" s="5" t="s">
        <v>100</v>
      </c>
      <c r="B55" s="7" t="s">
        <v>52</v>
      </c>
      <c r="C55" s="7" t="s">
        <v>35</v>
      </c>
      <c r="D55" s="8" t="s">
        <v>50</v>
      </c>
      <c r="E55" t="s">
        <v>6</v>
      </c>
      <c r="F55" s="5">
        <v>10</v>
      </c>
      <c r="G55" s="5">
        <v>10</v>
      </c>
      <c r="H55" s="7">
        <f t="shared" si="0"/>
        <v>70</v>
      </c>
      <c r="I55" s="7">
        <f t="shared" si="1"/>
        <v>0.20300000000000001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ht="15" thickBot="1" x14ac:dyDescent="0.4">
      <c r="A56" s="5" t="s">
        <v>100</v>
      </c>
      <c r="B56" s="7" t="s">
        <v>52</v>
      </c>
      <c r="C56" s="7" t="s">
        <v>35</v>
      </c>
      <c r="D56" s="8" t="s">
        <v>51</v>
      </c>
      <c r="E56" t="s">
        <v>5</v>
      </c>
      <c r="F56" s="5">
        <v>5</v>
      </c>
      <c r="G56" s="5">
        <v>5</v>
      </c>
      <c r="H56" s="7">
        <f t="shared" si="0"/>
        <v>35</v>
      </c>
      <c r="I56" s="7">
        <f t="shared" si="1"/>
        <v>0.10150000000000001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ht="15" thickBot="1" x14ac:dyDescent="0.4">
      <c r="A57" s="5" t="s">
        <v>100</v>
      </c>
      <c r="B57" s="7" t="s">
        <v>52</v>
      </c>
      <c r="C57" s="7" t="s">
        <v>37</v>
      </c>
      <c r="D57" s="9" t="s">
        <v>114</v>
      </c>
      <c r="E57" t="s">
        <v>8</v>
      </c>
      <c r="F57" s="5">
        <v>80</v>
      </c>
      <c r="G57" s="5">
        <v>93</v>
      </c>
      <c r="H57" s="7">
        <f t="shared" si="0"/>
        <v>651</v>
      </c>
      <c r="I57" s="7">
        <f t="shared" si="1"/>
        <v>1.8878999999999999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ht="15" thickBot="1" x14ac:dyDescent="0.4">
      <c r="A58" s="5" t="s">
        <v>100</v>
      </c>
      <c r="B58" s="7" t="s">
        <v>52</v>
      </c>
      <c r="C58" s="7" t="s">
        <v>37</v>
      </c>
      <c r="D58" s="8" t="s">
        <v>115</v>
      </c>
      <c r="E58" t="s">
        <v>9</v>
      </c>
      <c r="F58" s="5">
        <v>160</v>
      </c>
      <c r="G58" s="5">
        <v>188</v>
      </c>
      <c r="H58" s="7">
        <f t="shared" si="0"/>
        <v>1316</v>
      </c>
      <c r="I58" s="7">
        <f t="shared" si="1"/>
        <v>3.8164000000000002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ht="15" thickBot="1" x14ac:dyDescent="0.4">
      <c r="A59" s="5" t="s">
        <v>100</v>
      </c>
      <c r="B59" s="7" t="s">
        <v>52</v>
      </c>
      <c r="C59" s="7" t="s">
        <v>37</v>
      </c>
      <c r="D59" s="10" t="s">
        <v>53</v>
      </c>
      <c r="E59" t="s">
        <v>10</v>
      </c>
      <c r="F59" s="5">
        <v>100</v>
      </c>
      <c r="G59" s="5">
        <v>159</v>
      </c>
      <c r="H59" s="7">
        <f t="shared" si="0"/>
        <v>1113</v>
      </c>
      <c r="I59" s="7">
        <f t="shared" si="1"/>
        <v>3.2277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" thickBot="1" x14ac:dyDescent="0.4">
      <c r="A60" s="5" t="s">
        <v>100</v>
      </c>
      <c r="B60" s="7" t="s">
        <v>52</v>
      </c>
      <c r="C60" s="7" t="s">
        <v>37</v>
      </c>
      <c r="D60" s="10" t="s">
        <v>96</v>
      </c>
      <c r="E60" t="s">
        <v>113</v>
      </c>
      <c r="F60" s="5">
        <v>0</v>
      </c>
      <c r="G60" s="5">
        <v>0</v>
      </c>
      <c r="H60" s="7">
        <f t="shared" si="0"/>
        <v>0</v>
      </c>
      <c r="I60" s="7">
        <f t="shared" si="1"/>
        <v>0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" thickBot="1" x14ac:dyDescent="0.4">
      <c r="A61" s="5" t="s">
        <v>100</v>
      </c>
      <c r="B61" s="7" t="s">
        <v>52</v>
      </c>
      <c r="C61" s="7" t="s">
        <v>37</v>
      </c>
      <c r="D61" s="10" t="s">
        <v>50</v>
      </c>
      <c r="E61" t="s">
        <v>11</v>
      </c>
      <c r="F61" s="5">
        <v>10</v>
      </c>
      <c r="G61" s="5">
        <v>10</v>
      </c>
      <c r="H61" s="7">
        <f t="shared" si="0"/>
        <v>70</v>
      </c>
      <c r="I61" s="7">
        <f t="shared" si="1"/>
        <v>0.20300000000000001</v>
      </c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spans="1:28" ht="15" thickBot="1" x14ac:dyDescent="0.4">
      <c r="A62" s="5" t="s">
        <v>100</v>
      </c>
      <c r="B62" s="7" t="s">
        <v>54</v>
      </c>
      <c r="C62" s="7" t="s">
        <v>36</v>
      </c>
      <c r="D62" s="8" t="s">
        <v>55</v>
      </c>
      <c r="E62" t="s">
        <v>12</v>
      </c>
      <c r="F62" s="5">
        <v>80</v>
      </c>
      <c r="G62" s="5">
        <v>94</v>
      </c>
      <c r="H62" s="7">
        <f t="shared" si="0"/>
        <v>658</v>
      </c>
      <c r="I62" s="7">
        <f t="shared" si="1"/>
        <v>1.9082000000000001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spans="1:28" ht="15" thickBot="1" x14ac:dyDescent="0.4">
      <c r="A63" s="5" t="s">
        <v>100</v>
      </c>
      <c r="B63" s="7" t="s">
        <v>54</v>
      </c>
      <c r="C63" s="7" t="s">
        <v>36</v>
      </c>
      <c r="D63" s="8" t="s">
        <v>56</v>
      </c>
      <c r="E63" t="s">
        <v>13</v>
      </c>
      <c r="F63" s="5">
        <v>80</v>
      </c>
      <c r="G63" s="5">
        <v>103</v>
      </c>
      <c r="H63" s="7">
        <f t="shared" si="0"/>
        <v>721</v>
      </c>
      <c r="I63" s="7">
        <f t="shared" si="1"/>
        <v>2.0909</v>
      </c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spans="1:28" ht="15" thickBot="1" x14ac:dyDescent="0.4">
      <c r="A64" s="5" t="s">
        <v>100</v>
      </c>
      <c r="B64" s="7" t="s">
        <v>54</v>
      </c>
      <c r="C64" s="7" t="s">
        <v>36</v>
      </c>
      <c r="D64" s="8" t="s">
        <v>57</v>
      </c>
      <c r="E64" t="s">
        <v>14</v>
      </c>
      <c r="F64" s="5">
        <v>30</v>
      </c>
      <c r="G64" s="5">
        <v>38</v>
      </c>
      <c r="H64" s="7">
        <f t="shared" si="0"/>
        <v>266</v>
      </c>
      <c r="I64" s="7">
        <f t="shared" si="1"/>
        <v>0.77139999999999997</v>
      </c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spans="1:28" ht="15" thickBot="1" x14ac:dyDescent="0.4">
      <c r="A65" s="5" t="s">
        <v>100</v>
      </c>
      <c r="B65" s="7" t="s">
        <v>54</v>
      </c>
      <c r="C65" s="7" t="s">
        <v>38</v>
      </c>
      <c r="D65" s="8" t="s">
        <v>58</v>
      </c>
      <c r="E65" t="s">
        <v>15</v>
      </c>
      <c r="F65" s="5">
        <v>80</v>
      </c>
      <c r="G65" s="5">
        <v>123</v>
      </c>
      <c r="H65" s="7">
        <f t="shared" si="0"/>
        <v>861</v>
      </c>
      <c r="I65" s="7">
        <f t="shared" si="1"/>
        <v>2.4969000000000001</v>
      </c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spans="1:28" ht="15" thickBot="1" x14ac:dyDescent="0.4">
      <c r="A66" s="5" t="s">
        <v>100</v>
      </c>
      <c r="B66" s="7" t="s">
        <v>54</v>
      </c>
      <c r="C66" s="7" t="s">
        <v>38</v>
      </c>
      <c r="D66" s="8" t="s">
        <v>59</v>
      </c>
      <c r="E66" t="s">
        <v>16</v>
      </c>
      <c r="F66" s="5">
        <v>20</v>
      </c>
      <c r="G66" s="5">
        <v>29</v>
      </c>
      <c r="H66" s="7">
        <f t="shared" si="0"/>
        <v>203</v>
      </c>
      <c r="I66" s="7">
        <f t="shared" si="1"/>
        <v>0.58869999999999989</v>
      </c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ht="15" thickBot="1" x14ac:dyDescent="0.4">
      <c r="A67" s="5" t="s">
        <v>100</v>
      </c>
      <c r="B67" s="7" t="s">
        <v>54</v>
      </c>
      <c r="C67" s="7" t="s">
        <v>38</v>
      </c>
      <c r="D67" s="8" t="s">
        <v>60</v>
      </c>
      <c r="E67" t="s">
        <v>17</v>
      </c>
      <c r="F67" s="5">
        <v>80</v>
      </c>
      <c r="G67" s="5">
        <v>123</v>
      </c>
      <c r="H67" s="7">
        <f t="shared" ref="H67:H130" si="2">G67*7</f>
        <v>861</v>
      </c>
      <c r="I67" s="7">
        <f t="shared" ref="I67:I130" si="3">H67*2.9/(1000)</f>
        <v>2.4969000000000001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spans="1:28" ht="15" thickBot="1" x14ac:dyDescent="0.4">
      <c r="A68" s="5" t="s">
        <v>100</v>
      </c>
      <c r="B68" s="7" t="s">
        <v>39</v>
      </c>
      <c r="C68" s="7" t="s">
        <v>61</v>
      </c>
      <c r="D68" s="11" t="s">
        <v>97</v>
      </c>
      <c r="E68" t="s">
        <v>18</v>
      </c>
      <c r="F68" s="5">
        <v>80</v>
      </c>
      <c r="G68" s="5">
        <v>80</v>
      </c>
      <c r="H68" s="7">
        <f t="shared" si="2"/>
        <v>560</v>
      </c>
      <c r="I68" s="7">
        <f t="shared" si="3"/>
        <v>1.6240000000000001</v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spans="1:28" ht="15" thickBot="1" x14ac:dyDescent="0.4">
      <c r="A69" s="5" t="s">
        <v>100</v>
      </c>
      <c r="B69" s="7" t="s">
        <v>39</v>
      </c>
      <c r="C69" s="7" t="s">
        <v>61</v>
      </c>
      <c r="D69" s="11" t="s">
        <v>62</v>
      </c>
      <c r="E69" t="s">
        <v>19</v>
      </c>
      <c r="F69" s="5">
        <v>0</v>
      </c>
      <c r="G69" s="5">
        <v>0</v>
      </c>
      <c r="H69" s="7">
        <f t="shared" si="2"/>
        <v>0</v>
      </c>
      <c r="I69" s="7">
        <f t="shared" si="3"/>
        <v>0</v>
      </c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spans="1:28" ht="15" thickBot="1" x14ac:dyDescent="0.4">
      <c r="A70" s="5" t="s">
        <v>100</v>
      </c>
      <c r="B70" s="7" t="s">
        <v>39</v>
      </c>
      <c r="C70" s="7" t="s">
        <v>61</v>
      </c>
      <c r="D70" s="11" t="s">
        <v>98</v>
      </c>
      <c r="E70" t="s">
        <v>20</v>
      </c>
      <c r="F70" s="5">
        <v>0</v>
      </c>
      <c r="G70" s="5">
        <v>0</v>
      </c>
      <c r="H70" s="7">
        <f t="shared" si="2"/>
        <v>0</v>
      </c>
      <c r="I70" s="7">
        <f t="shared" si="3"/>
        <v>0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spans="1:28" ht="15" thickBot="1" x14ac:dyDescent="0.4">
      <c r="A71" s="5" t="s">
        <v>100</v>
      </c>
      <c r="B71" s="7" t="s">
        <v>39</v>
      </c>
      <c r="C71" s="7" t="s">
        <v>61</v>
      </c>
      <c r="D71" s="11" t="s">
        <v>63</v>
      </c>
      <c r="E71" t="s">
        <v>21</v>
      </c>
      <c r="F71" s="5">
        <v>40</v>
      </c>
      <c r="G71" s="5">
        <v>40</v>
      </c>
      <c r="H71" s="7">
        <f t="shared" si="2"/>
        <v>280</v>
      </c>
      <c r="I71" s="7">
        <f t="shared" si="3"/>
        <v>0.81200000000000006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spans="1:28" ht="15" thickBot="1" x14ac:dyDescent="0.4">
      <c r="A72" s="5" t="s">
        <v>100</v>
      </c>
      <c r="B72" s="7" t="s">
        <v>39</v>
      </c>
      <c r="C72" s="7" t="s">
        <v>64</v>
      </c>
      <c r="D72" s="11" t="s">
        <v>65</v>
      </c>
      <c r="E72" t="s">
        <v>20</v>
      </c>
      <c r="F72" s="5">
        <v>0</v>
      </c>
      <c r="G72" s="5">
        <v>0</v>
      </c>
      <c r="H72" s="7">
        <f t="shared" si="2"/>
        <v>0</v>
      </c>
      <c r="I72" s="7">
        <f t="shared" si="3"/>
        <v>0</v>
      </c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spans="1:28" ht="15" thickBot="1" x14ac:dyDescent="0.4">
      <c r="A73" s="5" t="s">
        <v>100</v>
      </c>
      <c r="B73" s="7" t="s">
        <v>39</v>
      </c>
      <c r="C73" s="7" t="s">
        <v>64</v>
      </c>
      <c r="D73" s="11" t="s">
        <v>66</v>
      </c>
      <c r="E73" t="s">
        <v>20</v>
      </c>
      <c r="F73" s="5">
        <v>0</v>
      </c>
      <c r="G73" s="5">
        <v>0</v>
      </c>
      <c r="H73" s="7">
        <f t="shared" si="2"/>
        <v>0</v>
      </c>
      <c r="I73" s="7">
        <f t="shared" si="3"/>
        <v>0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1:28" ht="15" thickBot="1" x14ac:dyDescent="0.4">
      <c r="A74" s="5" t="s">
        <v>100</v>
      </c>
      <c r="B74" s="7" t="s">
        <v>39</v>
      </c>
      <c r="C74" s="7" t="s">
        <v>64</v>
      </c>
      <c r="D74" s="11" t="s">
        <v>67</v>
      </c>
      <c r="E74" t="s">
        <v>22</v>
      </c>
      <c r="F74" s="5">
        <v>25</v>
      </c>
      <c r="G74" s="5">
        <v>25</v>
      </c>
      <c r="H74" s="7">
        <f t="shared" si="2"/>
        <v>175</v>
      </c>
      <c r="I74" s="7">
        <f t="shared" si="3"/>
        <v>0.50749999999999995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1:28" ht="15" thickBot="1" x14ac:dyDescent="0.4">
      <c r="A75" s="5" t="s">
        <v>100</v>
      </c>
      <c r="B75" s="7" t="s">
        <v>68</v>
      </c>
      <c r="C75" s="7" t="s">
        <v>69</v>
      </c>
      <c r="D75" s="11" t="s">
        <v>70</v>
      </c>
      <c r="E75" t="s">
        <v>116</v>
      </c>
      <c r="F75" s="5">
        <v>10</v>
      </c>
      <c r="G75" s="5">
        <v>11</v>
      </c>
      <c r="H75" s="7">
        <f t="shared" si="2"/>
        <v>77</v>
      </c>
      <c r="I75" s="7">
        <f t="shared" si="3"/>
        <v>0.22329999999999997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1:28" ht="15" thickBot="1" x14ac:dyDescent="0.4">
      <c r="A76" s="5" t="s">
        <v>100</v>
      </c>
      <c r="B76" s="7" t="s">
        <v>68</v>
      </c>
      <c r="C76" s="7" t="s">
        <v>69</v>
      </c>
      <c r="D76" s="11" t="s">
        <v>71</v>
      </c>
      <c r="E76" t="s">
        <v>117</v>
      </c>
      <c r="F76" s="5">
        <v>13</v>
      </c>
      <c r="G76" s="5">
        <v>17</v>
      </c>
      <c r="H76" s="7">
        <f t="shared" si="2"/>
        <v>119</v>
      </c>
      <c r="I76" s="7">
        <f t="shared" si="3"/>
        <v>0.34509999999999996</v>
      </c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1:28" ht="15" thickBot="1" x14ac:dyDescent="0.4">
      <c r="A77" s="5" t="s">
        <v>100</v>
      </c>
      <c r="B77" s="7" t="s">
        <v>68</v>
      </c>
      <c r="C77" s="7" t="s">
        <v>69</v>
      </c>
      <c r="D77" s="11" t="s">
        <v>72</v>
      </c>
      <c r="E77" t="s">
        <v>118</v>
      </c>
      <c r="F77" s="5">
        <v>8</v>
      </c>
      <c r="G77" s="5">
        <v>10</v>
      </c>
      <c r="H77" s="7">
        <f t="shared" si="2"/>
        <v>70</v>
      </c>
      <c r="I77" s="7">
        <f t="shared" si="3"/>
        <v>0.20300000000000001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1:28" ht="15" thickBot="1" x14ac:dyDescent="0.4">
      <c r="A78" s="5" t="s">
        <v>100</v>
      </c>
      <c r="B78" s="7" t="s">
        <v>68</v>
      </c>
      <c r="C78" s="7" t="s">
        <v>69</v>
      </c>
      <c r="D78" s="11" t="s">
        <v>73</v>
      </c>
      <c r="E78" t="s">
        <v>119</v>
      </c>
      <c r="F78" s="5">
        <v>0</v>
      </c>
      <c r="G78" s="5">
        <v>0</v>
      </c>
      <c r="H78" s="7">
        <f t="shared" si="2"/>
        <v>0</v>
      </c>
      <c r="I78" s="7">
        <f t="shared" si="3"/>
        <v>0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1:28" ht="15" thickBot="1" x14ac:dyDescent="0.4">
      <c r="A79" s="5" t="s">
        <v>100</v>
      </c>
      <c r="B79" s="7" t="s">
        <v>68</v>
      </c>
      <c r="C79" s="7" t="s">
        <v>40</v>
      </c>
      <c r="D79" s="11" t="s">
        <v>74</v>
      </c>
      <c r="E79" t="s">
        <v>120</v>
      </c>
      <c r="F79" s="5">
        <v>18</v>
      </c>
      <c r="G79" s="5">
        <v>27</v>
      </c>
      <c r="H79" s="7">
        <f t="shared" si="2"/>
        <v>189</v>
      </c>
      <c r="I79" s="7">
        <f t="shared" si="3"/>
        <v>0.54810000000000003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1:28" ht="15" thickBot="1" x14ac:dyDescent="0.4">
      <c r="A80" s="5" t="s">
        <v>100</v>
      </c>
      <c r="B80" s="7" t="s">
        <v>68</v>
      </c>
      <c r="C80" s="7" t="s">
        <v>40</v>
      </c>
      <c r="D80" s="11" t="s">
        <v>75</v>
      </c>
      <c r="E80" s="11" t="s">
        <v>121</v>
      </c>
      <c r="F80" s="5">
        <v>5</v>
      </c>
      <c r="G80" s="5">
        <v>7</v>
      </c>
      <c r="H80" s="7">
        <f t="shared" si="2"/>
        <v>49</v>
      </c>
      <c r="I80" s="7">
        <f t="shared" si="3"/>
        <v>0.1421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1:28" ht="15" thickBot="1" x14ac:dyDescent="0.4">
      <c r="A81" s="5" t="s">
        <v>100</v>
      </c>
      <c r="B81" s="7" t="s">
        <v>68</v>
      </c>
      <c r="C81" s="7" t="s">
        <v>40</v>
      </c>
      <c r="D81" s="11" t="s">
        <v>76</v>
      </c>
      <c r="E81" s="11" t="s">
        <v>122</v>
      </c>
      <c r="F81" s="5">
        <v>0</v>
      </c>
      <c r="G81" s="5">
        <v>0</v>
      </c>
      <c r="H81" s="7">
        <f t="shared" si="2"/>
        <v>0</v>
      </c>
      <c r="I81" s="7">
        <f t="shared" si="3"/>
        <v>0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1:28" ht="15" thickBot="1" x14ac:dyDescent="0.4">
      <c r="A82" s="5" t="s">
        <v>100</v>
      </c>
      <c r="B82" s="7" t="s">
        <v>68</v>
      </c>
      <c r="C82" s="7" t="s">
        <v>41</v>
      </c>
      <c r="D82" s="11" t="s">
        <v>77</v>
      </c>
      <c r="E82" t="s">
        <v>23</v>
      </c>
      <c r="F82" s="5">
        <v>25</v>
      </c>
      <c r="G82" s="5">
        <v>29</v>
      </c>
      <c r="H82" s="7">
        <f t="shared" si="2"/>
        <v>203</v>
      </c>
      <c r="I82" s="7">
        <f t="shared" si="3"/>
        <v>0.58869999999999989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1:28" ht="15" thickBot="1" x14ac:dyDescent="0.4">
      <c r="A83" s="5" t="s">
        <v>100</v>
      </c>
      <c r="B83" s="7" t="s">
        <v>68</v>
      </c>
      <c r="C83" s="7" t="s">
        <v>41</v>
      </c>
      <c r="D83" s="11" t="s">
        <v>78</v>
      </c>
      <c r="E83" t="s">
        <v>24</v>
      </c>
      <c r="F83" s="5">
        <v>0</v>
      </c>
      <c r="G83" s="5">
        <v>0</v>
      </c>
      <c r="H83" s="7">
        <f t="shared" si="2"/>
        <v>0</v>
      </c>
      <c r="I83" s="7">
        <f t="shared" si="3"/>
        <v>0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spans="1:28" ht="15" thickBot="1" x14ac:dyDescent="0.4">
      <c r="A84" s="5" t="s">
        <v>100</v>
      </c>
      <c r="B84" s="7" t="s">
        <v>68</v>
      </c>
      <c r="C84" s="7" t="s">
        <v>42</v>
      </c>
      <c r="D84" s="6" t="s">
        <v>71</v>
      </c>
      <c r="E84" t="s">
        <v>123</v>
      </c>
      <c r="F84" s="5">
        <v>7</v>
      </c>
      <c r="G84" s="5">
        <v>8</v>
      </c>
      <c r="H84" s="7">
        <f t="shared" si="2"/>
        <v>56</v>
      </c>
      <c r="I84" s="7">
        <f t="shared" si="3"/>
        <v>0.16240000000000002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1:28" ht="15" thickBot="1" x14ac:dyDescent="0.4">
      <c r="A85" s="5" t="s">
        <v>100</v>
      </c>
      <c r="B85" s="7" t="s">
        <v>68</v>
      </c>
      <c r="C85" s="7" t="s">
        <v>42</v>
      </c>
      <c r="D85" s="6" t="s">
        <v>73</v>
      </c>
      <c r="E85" t="s">
        <v>124</v>
      </c>
      <c r="F85" s="5">
        <v>0</v>
      </c>
      <c r="G85" s="5">
        <v>0</v>
      </c>
      <c r="H85" s="7">
        <f t="shared" si="2"/>
        <v>0</v>
      </c>
      <c r="I85" s="7">
        <f t="shared" si="3"/>
        <v>0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spans="1:28" ht="15" thickBot="1" x14ac:dyDescent="0.4">
      <c r="A86" s="5" t="s">
        <v>100</v>
      </c>
      <c r="B86" s="7" t="s">
        <v>68</v>
      </c>
      <c r="C86" s="7" t="s">
        <v>42</v>
      </c>
      <c r="D86" s="6" t="s">
        <v>74</v>
      </c>
      <c r="E86" t="s">
        <v>125</v>
      </c>
      <c r="F86" s="5">
        <v>7</v>
      </c>
      <c r="G86" s="5">
        <v>8</v>
      </c>
      <c r="H86" s="7">
        <f t="shared" si="2"/>
        <v>56</v>
      </c>
      <c r="I86" s="7">
        <f t="shared" si="3"/>
        <v>0.16240000000000002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spans="1:28" ht="15" thickBot="1" x14ac:dyDescent="0.4">
      <c r="A87" s="5" t="s">
        <v>100</v>
      </c>
      <c r="B87" s="7" t="s">
        <v>68</v>
      </c>
      <c r="C87" s="7" t="s">
        <v>42</v>
      </c>
      <c r="D87" s="6" t="s">
        <v>76</v>
      </c>
      <c r="E87" t="s">
        <v>126</v>
      </c>
      <c r="F87" s="5">
        <v>0</v>
      </c>
      <c r="G87" s="5">
        <v>0</v>
      </c>
      <c r="H87" s="7">
        <f t="shared" si="2"/>
        <v>0</v>
      </c>
      <c r="I87" s="7">
        <f t="shared" si="3"/>
        <v>0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spans="1:28" ht="15" thickBot="1" x14ac:dyDescent="0.4">
      <c r="A88" s="5" t="s">
        <v>100</v>
      </c>
      <c r="B88" s="7" t="s">
        <v>68</v>
      </c>
      <c r="C88" s="7" t="s">
        <v>79</v>
      </c>
      <c r="D88" s="11" t="s">
        <v>79</v>
      </c>
      <c r="E88" t="s">
        <v>25</v>
      </c>
      <c r="F88" s="5">
        <v>25</v>
      </c>
      <c r="G88" s="5">
        <v>28</v>
      </c>
      <c r="H88" s="7">
        <f t="shared" si="2"/>
        <v>196</v>
      </c>
      <c r="I88" s="7">
        <f t="shared" si="3"/>
        <v>0.56840000000000002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spans="1:28" ht="15" thickBot="1" x14ac:dyDescent="0.4">
      <c r="A89" s="5" t="s">
        <v>100</v>
      </c>
      <c r="B89" s="7" t="s">
        <v>80</v>
      </c>
      <c r="C89" s="7" t="s">
        <v>43</v>
      </c>
      <c r="D89" s="11" t="s">
        <v>43</v>
      </c>
      <c r="E89" t="s">
        <v>26</v>
      </c>
      <c r="F89" s="5">
        <v>100</v>
      </c>
      <c r="G89" s="5">
        <v>100</v>
      </c>
      <c r="H89" s="7">
        <f t="shared" si="2"/>
        <v>700</v>
      </c>
      <c r="I89" s="7">
        <f t="shared" si="3"/>
        <v>2.0299999999999998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spans="1:28" ht="15" thickBot="1" x14ac:dyDescent="0.4">
      <c r="A90" s="5" t="s">
        <v>100</v>
      </c>
      <c r="B90" s="7" t="s">
        <v>80</v>
      </c>
      <c r="C90" s="7" t="s">
        <v>43</v>
      </c>
      <c r="D90" s="11" t="s">
        <v>81</v>
      </c>
      <c r="E90" t="s">
        <v>27</v>
      </c>
      <c r="F90" s="5">
        <v>0</v>
      </c>
      <c r="G90" s="5">
        <v>0</v>
      </c>
      <c r="H90" s="7">
        <f t="shared" si="2"/>
        <v>0</v>
      </c>
      <c r="I90" s="7">
        <f t="shared" si="3"/>
        <v>0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spans="1:28" ht="15" thickBot="1" x14ac:dyDescent="0.4">
      <c r="A91" s="5" t="s">
        <v>100</v>
      </c>
      <c r="B91" s="7" t="s">
        <v>80</v>
      </c>
      <c r="C91" s="7" t="s">
        <v>44</v>
      </c>
      <c r="D91" s="11" t="s">
        <v>82</v>
      </c>
      <c r="E91" t="s">
        <v>127</v>
      </c>
      <c r="F91" s="5">
        <v>25</v>
      </c>
      <c r="G91" s="5">
        <v>31</v>
      </c>
      <c r="H91" s="7">
        <f t="shared" si="2"/>
        <v>217</v>
      </c>
      <c r="I91" s="7">
        <f t="shared" si="3"/>
        <v>0.62929999999999997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spans="1:28" ht="15" thickBot="1" x14ac:dyDescent="0.4">
      <c r="A92" s="5" t="s">
        <v>100</v>
      </c>
      <c r="B92" s="7" t="s">
        <v>80</v>
      </c>
      <c r="C92" s="7" t="s">
        <v>44</v>
      </c>
      <c r="D92" s="11" t="s">
        <v>83</v>
      </c>
      <c r="E92" t="s">
        <v>28</v>
      </c>
      <c r="F92" s="5">
        <v>5</v>
      </c>
      <c r="G92" s="5">
        <v>6</v>
      </c>
      <c r="H92" s="7">
        <f t="shared" si="2"/>
        <v>42</v>
      </c>
      <c r="I92" s="7">
        <f t="shared" si="3"/>
        <v>0.12179999999999999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spans="1:28" ht="15" thickBot="1" x14ac:dyDescent="0.4">
      <c r="A93" s="5" t="s">
        <v>100</v>
      </c>
      <c r="B93" s="7" t="s">
        <v>45</v>
      </c>
      <c r="C93" s="7" t="s">
        <v>84</v>
      </c>
      <c r="D93" t="s">
        <v>84</v>
      </c>
      <c r="E93" t="s">
        <v>30</v>
      </c>
      <c r="F93" s="5">
        <v>15</v>
      </c>
      <c r="G93" s="5">
        <v>15</v>
      </c>
      <c r="H93" s="7">
        <f t="shared" si="2"/>
        <v>105</v>
      </c>
      <c r="I93" s="7">
        <f t="shared" si="3"/>
        <v>0.30449999999999999</v>
      </c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spans="1:28" ht="15" thickBot="1" x14ac:dyDescent="0.4">
      <c r="A94" s="5" t="s">
        <v>100</v>
      </c>
      <c r="B94" s="7" t="s">
        <v>45</v>
      </c>
      <c r="C94" s="7" t="s">
        <v>85</v>
      </c>
      <c r="D94" t="s">
        <v>85</v>
      </c>
      <c r="E94" t="s">
        <v>31</v>
      </c>
      <c r="F94" s="5">
        <v>5</v>
      </c>
      <c r="G94" s="5">
        <v>5</v>
      </c>
      <c r="H94" s="7">
        <f t="shared" si="2"/>
        <v>35</v>
      </c>
      <c r="I94" s="7">
        <f t="shared" si="3"/>
        <v>0.10150000000000001</v>
      </c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spans="1:28" ht="15" thickBot="1" x14ac:dyDescent="0.4">
      <c r="A95" s="5" t="s">
        <v>100</v>
      </c>
      <c r="B95" s="7" t="s">
        <v>86</v>
      </c>
      <c r="C95" s="7" t="s">
        <v>87</v>
      </c>
      <c r="D95" s="11" t="s">
        <v>87</v>
      </c>
      <c r="E95" t="s">
        <v>29</v>
      </c>
      <c r="F95" s="5">
        <v>50</v>
      </c>
      <c r="G95" s="5">
        <v>50</v>
      </c>
      <c r="H95" s="7">
        <f t="shared" si="2"/>
        <v>350</v>
      </c>
      <c r="I95" s="7">
        <f t="shared" si="3"/>
        <v>1.0149999999999999</v>
      </c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spans="1:28" ht="15" thickBot="1" x14ac:dyDescent="0.4">
      <c r="A96" s="5" t="s">
        <v>100</v>
      </c>
      <c r="B96" s="7" t="s">
        <v>86</v>
      </c>
      <c r="C96" s="7" t="s">
        <v>46</v>
      </c>
      <c r="D96" s="11" t="s">
        <v>88</v>
      </c>
      <c r="E96" s="11" t="s">
        <v>88</v>
      </c>
      <c r="F96" s="5">
        <v>5</v>
      </c>
      <c r="G96" s="5">
        <v>5</v>
      </c>
      <c r="H96" s="7">
        <f t="shared" si="2"/>
        <v>35</v>
      </c>
      <c r="I96" s="7">
        <f t="shared" si="3"/>
        <v>0.10150000000000001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spans="1:28" ht="15" thickBot="1" x14ac:dyDescent="0.4">
      <c r="A97" s="5" t="s">
        <v>100</v>
      </c>
      <c r="B97" s="7" t="s">
        <v>86</v>
      </c>
      <c r="C97" s="7" t="s">
        <v>46</v>
      </c>
      <c r="D97" s="11" t="s">
        <v>89</v>
      </c>
      <c r="E97" s="11" t="s">
        <v>89</v>
      </c>
      <c r="F97" s="5">
        <v>0</v>
      </c>
      <c r="G97" s="5">
        <v>0</v>
      </c>
      <c r="H97" s="7">
        <f t="shared" si="2"/>
        <v>0</v>
      </c>
      <c r="I97" s="7">
        <f t="shared" si="3"/>
        <v>0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spans="1:28" ht="15" thickBot="1" x14ac:dyDescent="0.4">
      <c r="A98" s="5" t="s">
        <v>100</v>
      </c>
      <c r="B98" s="7" t="s">
        <v>86</v>
      </c>
      <c r="C98" s="7" t="s">
        <v>46</v>
      </c>
      <c r="D98" s="11" t="s">
        <v>90</v>
      </c>
      <c r="E98" s="11" t="s">
        <v>90</v>
      </c>
      <c r="F98" s="5">
        <v>16</v>
      </c>
      <c r="G98" s="5">
        <v>16</v>
      </c>
      <c r="H98" s="7">
        <f t="shared" si="2"/>
        <v>112</v>
      </c>
      <c r="I98" s="7">
        <f t="shared" si="3"/>
        <v>0.32480000000000003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spans="1:28" ht="15" thickBot="1" x14ac:dyDescent="0.4">
      <c r="A99" s="5" t="s">
        <v>100</v>
      </c>
      <c r="B99" s="7" t="s">
        <v>86</v>
      </c>
      <c r="C99" s="7" t="s">
        <v>46</v>
      </c>
      <c r="D99" s="11" t="s">
        <v>91</v>
      </c>
      <c r="E99" s="11" t="s">
        <v>91</v>
      </c>
      <c r="F99" s="5">
        <v>5</v>
      </c>
      <c r="G99" s="5">
        <v>5</v>
      </c>
      <c r="H99" s="7">
        <f t="shared" si="2"/>
        <v>35</v>
      </c>
      <c r="I99" s="7">
        <f t="shared" si="3"/>
        <v>0.10150000000000001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spans="1:28" ht="15" thickBot="1" x14ac:dyDescent="0.4">
      <c r="A100" s="5" t="s">
        <v>100</v>
      </c>
      <c r="B100" s="7" t="s">
        <v>86</v>
      </c>
      <c r="C100" s="7" t="s">
        <v>92</v>
      </c>
      <c r="D100" t="s">
        <v>93</v>
      </c>
      <c r="E100" t="s">
        <v>93</v>
      </c>
      <c r="F100" s="5">
        <v>8</v>
      </c>
      <c r="G100" s="5">
        <v>9</v>
      </c>
      <c r="H100" s="7">
        <f t="shared" si="2"/>
        <v>63</v>
      </c>
      <c r="I100" s="7">
        <f t="shared" si="3"/>
        <v>0.1827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spans="1:28" ht="15" thickBot="1" x14ac:dyDescent="0.4">
      <c r="A101" s="5" t="s">
        <v>100</v>
      </c>
      <c r="B101" s="7" t="s">
        <v>86</v>
      </c>
      <c r="C101" s="7" t="s">
        <v>92</v>
      </c>
      <c r="D101" t="s">
        <v>94</v>
      </c>
      <c r="E101" t="s">
        <v>94</v>
      </c>
      <c r="F101" s="5">
        <v>3</v>
      </c>
      <c r="G101" s="5">
        <v>3</v>
      </c>
      <c r="H101" s="7">
        <f t="shared" si="2"/>
        <v>21</v>
      </c>
      <c r="I101" s="7">
        <f t="shared" si="3"/>
        <v>6.0899999999999996E-2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spans="1:28" ht="15" thickBot="1" x14ac:dyDescent="0.4">
      <c r="A102" s="5" t="s">
        <v>101</v>
      </c>
      <c r="B102" s="7" t="s">
        <v>52</v>
      </c>
      <c r="C102" s="7" t="s">
        <v>35</v>
      </c>
      <c r="D102" s="8" t="s">
        <v>47</v>
      </c>
      <c r="E102" t="s">
        <v>3</v>
      </c>
      <c r="F102" s="5">
        <v>80</v>
      </c>
      <c r="G102" s="5">
        <v>80</v>
      </c>
      <c r="H102" s="7">
        <f t="shared" si="2"/>
        <v>560</v>
      </c>
      <c r="I102" s="7">
        <f t="shared" si="3"/>
        <v>1.6240000000000001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spans="1:28" ht="15" thickBot="1" x14ac:dyDescent="0.4">
      <c r="A103" s="5" t="s">
        <v>101</v>
      </c>
      <c r="B103" s="7" t="s">
        <v>52</v>
      </c>
      <c r="C103" s="7" t="s">
        <v>35</v>
      </c>
      <c r="D103" s="8" t="s">
        <v>48</v>
      </c>
      <c r="E103" t="s">
        <v>7</v>
      </c>
      <c r="F103" s="5">
        <v>5</v>
      </c>
      <c r="G103" s="5">
        <v>6</v>
      </c>
      <c r="H103" s="7">
        <f t="shared" si="2"/>
        <v>42</v>
      </c>
      <c r="I103" s="7">
        <f t="shared" si="3"/>
        <v>0.12179999999999999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spans="1:28" ht="15" thickBot="1" x14ac:dyDescent="0.4">
      <c r="A104" s="5" t="s">
        <v>101</v>
      </c>
      <c r="B104" s="7" t="s">
        <v>52</v>
      </c>
      <c r="C104" s="7" t="s">
        <v>35</v>
      </c>
      <c r="D104" s="8" t="s">
        <v>49</v>
      </c>
      <c r="E104" t="s">
        <v>4</v>
      </c>
      <c r="F104" s="5">
        <v>30</v>
      </c>
      <c r="G104" s="5">
        <v>30</v>
      </c>
      <c r="H104" s="7">
        <f t="shared" si="2"/>
        <v>210</v>
      </c>
      <c r="I104" s="7">
        <f t="shared" si="3"/>
        <v>0.60899999999999999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spans="1:28" ht="15" thickBot="1" x14ac:dyDescent="0.4">
      <c r="A105" s="5" t="s">
        <v>101</v>
      </c>
      <c r="B105" s="7" t="s">
        <v>52</v>
      </c>
      <c r="C105" s="7" t="s">
        <v>35</v>
      </c>
      <c r="D105" s="8" t="s">
        <v>50</v>
      </c>
      <c r="E105" t="s">
        <v>6</v>
      </c>
      <c r="F105" s="5">
        <v>10</v>
      </c>
      <c r="G105" s="5">
        <v>10</v>
      </c>
      <c r="H105" s="7">
        <f t="shared" si="2"/>
        <v>70</v>
      </c>
      <c r="I105" s="7">
        <f t="shared" si="3"/>
        <v>0.20300000000000001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spans="1:28" ht="15" thickBot="1" x14ac:dyDescent="0.4">
      <c r="A106" s="5" t="s">
        <v>101</v>
      </c>
      <c r="B106" s="7" t="s">
        <v>52</v>
      </c>
      <c r="C106" s="7" t="s">
        <v>35</v>
      </c>
      <c r="D106" s="8" t="s">
        <v>51</v>
      </c>
      <c r="E106" t="s">
        <v>5</v>
      </c>
      <c r="F106" s="5">
        <v>10</v>
      </c>
      <c r="G106" s="5">
        <v>10</v>
      </c>
      <c r="H106" s="7">
        <f t="shared" si="2"/>
        <v>70</v>
      </c>
      <c r="I106" s="7">
        <f t="shared" si="3"/>
        <v>0.20300000000000001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spans="1:28" ht="15" thickBot="1" x14ac:dyDescent="0.4">
      <c r="A107" s="5" t="s">
        <v>101</v>
      </c>
      <c r="B107" s="7" t="s">
        <v>52</v>
      </c>
      <c r="C107" s="7" t="s">
        <v>37</v>
      </c>
      <c r="D107" s="9" t="s">
        <v>114</v>
      </c>
      <c r="E107" t="s">
        <v>8</v>
      </c>
      <c r="F107" s="5">
        <v>160</v>
      </c>
      <c r="G107" s="5">
        <v>186</v>
      </c>
      <c r="H107" s="7">
        <f t="shared" si="2"/>
        <v>1302</v>
      </c>
      <c r="I107" s="7">
        <f t="shared" si="3"/>
        <v>3.7757999999999998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spans="1:28" ht="15" thickBot="1" x14ac:dyDescent="0.4">
      <c r="A108" s="5" t="s">
        <v>101</v>
      </c>
      <c r="B108" s="7" t="s">
        <v>52</v>
      </c>
      <c r="C108" s="7" t="s">
        <v>37</v>
      </c>
      <c r="D108" s="8" t="s">
        <v>115</v>
      </c>
      <c r="E108" t="s">
        <v>9</v>
      </c>
      <c r="F108" s="5">
        <v>80</v>
      </c>
      <c r="G108" s="5">
        <v>94</v>
      </c>
      <c r="H108" s="7">
        <f t="shared" si="2"/>
        <v>658</v>
      </c>
      <c r="I108" s="7">
        <f t="shared" si="3"/>
        <v>1.9082000000000001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spans="1:28" ht="15" thickBot="1" x14ac:dyDescent="0.4">
      <c r="A109" s="5" t="s">
        <v>101</v>
      </c>
      <c r="B109" s="7" t="s">
        <v>52</v>
      </c>
      <c r="C109" s="7" t="s">
        <v>37</v>
      </c>
      <c r="D109" s="10" t="s">
        <v>53</v>
      </c>
      <c r="E109" t="s">
        <v>10</v>
      </c>
      <c r="F109" s="5">
        <v>100</v>
      </c>
      <c r="G109" s="5">
        <v>159</v>
      </c>
      <c r="H109" s="7">
        <f t="shared" si="2"/>
        <v>1113</v>
      </c>
      <c r="I109" s="7">
        <f t="shared" si="3"/>
        <v>3.2277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spans="1:28" ht="15" thickBot="1" x14ac:dyDescent="0.4">
      <c r="A110" s="5" t="s">
        <v>101</v>
      </c>
      <c r="B110" s="7" t="s">
        <v>52</v>
      </c>
      <c r="C110" s="7" t="s">
        <v>37</v>
      </c>
      <c r="D110" s="10" t="s">
        <v>96</v>
      </c>
      <c r="E110" t="s">
        <v>113</v>
      </c>
      <c r="F110" s="5">
        <v>0</v>
      </c>
      <c r="G110" s="5">
        <v>0</v>
      </c>
      <c r="H110" s="7">
        <f t="shared" si="2"/>
        <v>0</v>
      </c>
      <c r="I110" s="7">
        <f t="shared" si="3"/>
        <v>0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spans="1:28" ht="15" thickBot="1" x14ac:dyDescent="0.4">
      <c r="A111" s="5" t="s">
        <v>101</v>
      </c>
      <c r="B111" s="7" t="s">
        <v>52</v>
      </c>
      <c r="C111" s="7" t="s">
        <v>37</v>
      </c>
      <c r="D111" s="10" t="s">
        <v>50</v>
      </c>
      <c r="E111" t="s">
        <v>11</v>
      </c>
      <c r="F111" s="5">
        <v>10</v>
      </c>
      <c r="G111" s="5">
        <v>10</v>
      </c>
      <c r="H111" s="7">
        <f t="shared" si="2"/>
        <v>70</v>
      </c>
      <c r="I111" s="7">
        <f t="shared" si="3"/>
        <v>0.20300000000000001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spans="1:28" ht="15" thickBot="1" x14ac:dyDescent="0.4">
      <c r="A112" s="5" t="s">
        <v>101</v>
      </c>
      <c r="B112" s="7" t="s">
        <v>54</v>
      </c>
      <c r="C112" s="7" t="s">
        <v>36</v>
      </c>
      <c r="D112" s="8" t="s">
        <v>55</v>
      </c>
      <c r="E112" t="s">
        <v>12</v>
      </c>
      <c r="F112" s="5">
        <v>80</v>
      </c>
      <c r="G112" s="5">
        <v>94</v>
      </c>
      <c r="H112" s="7">
        <f t="shared" si="2"/>
        <v>658</v>
      </c>
      <c r="I112" s="7">
        <f t="shared" si="3"/>
        <v>1.9082000000000001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spans="1:28" ht="15" thickBot="1" x14ac:dyDescent="0.4">
      <c r="A113" s="5" t="s">
        <v>101</v>
      </c>
      <c r="B113" s="7" t="s">
        <v>54</v>
      </c>
      <c r="C113" s="7" t="s">
        <v>36</v>
      </c>
      <c r="D113" s="8" t="s">
        <v>56</v>
      </c>
      <c r="E113" t="s">
        <v>13</v>
      </c>
      <c r="F113" s="5">
        <v>80</v>
      </c>
      <c r="G113" s="5">
        <v>103</v>
      </c>
      <c r="H113" s="7">
        <f t="shared" si="2"/>
        <v>721</v>
      </c>
      <c r="I113" s="7">
        <f t="shared" si="3"/>
        <v>2.0909</v>
      </c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spans="1:28" ht="15" thickBot="1" x14ac:dyDescent="0.4">
      <c r="A114" s="5" t="s">
        <v>101</v>
      </c>
      <c r="B114" s="7" t="s">
        <v>54</v>
      </c>
      <c r="C114" s="7" t="s">
        <v>36</v>
      </c>
      <c r="D114" s="8" t="s">
        <v>57</v>
      </c>
      <c r="E114" t="s">
        <v>14</v>
      </c>
      <c r="F114" s="5">
        <v>30</v>
      </c>
      <c r="G114" s="5">
        <v>38</v>
      </c>
      <c r="H114" s="7">
        <f t="shared" si="2"/>
        <v>266</v>
      </c>
      <c r="I114" s="7">
        <f t="shared" si="3"/>
        <v>0.77139999999999997</v>
      </c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spans="1:28" ht="15" thickBot="1" x14ac:dyDescent="0.4">
      <c r="A115" s="5" t="s">
        <v>101</v>
      </c>
      <c r="B115" s="7" t="s">
        <v>54</v>
      </c>
      <c r="C115" s="7" t="s">
        <v>38</v>
      </c>
      <c r="D115" s="8" t="s">
        <v>58</v>
      </c>
      <c r="E115" t="s">
        <v>15</v>
      </c>
      <c r="F115" s="5">
        <v>80</v>
      </c>
      <c r="G115" s="5">
        <v>123</v>
      </c>
      <c r="H115" s="7">
        <f t="shared" si="2"/>
        <v>861</v>
      </c>
      <c r="I115" s="7">
        <f t="shared" si="3"/>
        <v>2.4969000000000001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spans="1:28" ht="15" thickBot="1" x14ac:dyDescent="0.4">
      <c r="A116" s="5" t="s">
        <v>101</v>
      </c>
      <c r="B116" s="7" t="s">
        <v>54</v>
      </c>
      <c r="C116" s="7" t="s">
        <v>38</v>
      </c>
      <c r="D116" s="8" t="s">
        <v>59</v>
      </c>
      <c r="E116" t="s">
        <v>16</v>
      </c>
      <c r="F116" s="5">
        <v>30</v>
      </c>
      <c r="G116" s="5">
        <v>44</v>
      </c>
      <c r="H116" s="7">
        <f t="shared" si="2"/>
        <v>308</v>
      </c>
      <c r="I116" s="7">
        <f t="shared" si="3"/>
        <v>0.89319999999999988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 ht="15" thickBot="1" x14ac:dyDescent="0.4">
      <c r="A117" s="5" t="s">
        <v>101</v>
      </c>
      <c r="B117" s="7" t="s">
        <v>54</v>
      </c>
      <c r="C117" s="7" t="s">
        <v>38</v>
      </c>
      <c r="D117" s="8" t="s">
        <v>60</v>
      </c>
      <c r="E117" t="s">
        <v>17</v>
      </c>
      <c r="F117" s="5">
        <v>80</v>
      </c>
      <c r="G117" s="5">
        <v>123</v>
      </c>
      <c r="H117" s="7">
        <f t="shared" si="2"/>
        <v>861</v>
      </c>
      <c r="I117" s="7">
        <f t="shared" si="3"/>
        <v>2.4969000000000001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 ht="15" thickBot="1" x14ac:dyDescent="0.4">
      <c r="A118" s="5" t="s">
        <v>101</v>
      </c>
      <c r="B118" s="7" t="s">
        <v>39</v>
      </c>
      <c r="C118" s="7" t="s">
        <v>61</v>
      </c>
      <c r="D118" s="11" t="s">
        <v>97</v>
      </c>
      <c r="E118" t="s">
        <v>18</v>
      </c>
      <c r="F118" s="5">
        <v>80</v>
      </c>
      <c r="G118" s="5">
        <v>80</v>
      </c>
      <c r="H118" s="7">
        <f t="shared" si="2"/>
        <v>560</v>
      </c>
      <c r="I118" s="7">
        <f t="shared" si="3"/>
        <v>1.6240000000000001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 ht="15" thickBot="1" x14ac:dyDescent="0.4">
      <c r="A119" s="5" t="s">
        <v>101</v>
      </c>
      <c r="B119" s="7" t="s">
        <v>39</v>
      </c>
      <c r="C119" s="7" t="s">
        <v>61</v>
      </c>
      <c r="D119" s="11" t="s">
        <v>62</v>
      </c>
      <c r="E119" t="s">
        <v>19</v>
      </c>
      <c r="F119" s="5">
        <v>0</v>
      </c>
      <c r="G119" s="5">
        <v>0</v>
      </c>
      <c r="H119" s="7">
        <f t="shared" si="2"/>
        <v>0</v>
      </c>
      <c r="I119" s="7">
        <f t="shared" si="3"/>
        <v>0</v>
      </c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 ht="15" thickBot="1" x14ac:dyDescent="0.4">
      <c r="A120" s="5" t="s">
        <v>101</v>
      </c>
      <c r="B120" s="7" t="s">
        <v>39</v>
      </c>
      <c r="C120" s="7" t="s">
        <v>61</v>
      </c>
      <c r="D120" s="11" t="s">
        <v>98</v>
      </c>
      <c r="E120" t="s">
        <v>20</v>
      </c>
      <c r="F120" s="5">
        <v>0</v>
      </c>
      <c r="G120" s="5">
        <v>0</v>
      </c>
      <c r="H120" s="7">
        <f t="shared" si="2"/>
        <v>0</v>
      </c>
      <c r="I120" s="7">
        <f t="shared" si="3"/>
        <v>0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 ht="15" thickBot="1" x14ac:dyDescent="0.4">
      <c r="A121" s="5" t="s">
        <v>101</v>
      </c>
      <c r="B121" s="7" t="s">
        <v>39</v>
      </c>
      <c r="C121" s="7" t="s">
        <v>61</v>
      </c>
      <c r="D121" s="11" t="s">
        <v>63</v>
      </c>
      <c r="E121" t="s">
        <v>21</v>
      </c>
      <c r="F121" s="5">
        <v>40</v>
      </c>
      <c r="G121" s="5">
        <v>40</v>
      </c>
      <c r="H121" s="7">
        <f t="shared" si="2"/>
        <v>280</v>
      </c>
      <c r="I121" s="7">
        <f t="shared" si="3"/>
        <v>0.81200000000000006</v>
      </c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 ht="15" thickBot="1" x14ac:dyDescent="0.4">
      <c r="A122" s="5" t="s">
        <v>101</v>
      </c>
      <c r="B122" s="7" t="s">
        <v>39</v>
      </c>
      <c r="C122" s="7" t="s">
        <v>64</v>
      </c>
      <c r="D122" s="11" t="s">
        <v>65</v>
      </c>
      <c r="E122" t="s">
        <v>20</v>
      </c>
      <c r="F122" s="5">
        <v>0</v>
      </c>
      <c r="G122" s="5">
        <v>0</v>
      </c>
      <c r="H122" s="7">
        <f t="shared" si="2"/>
        <v>0</v>
      </c>
      <c r="I122" s="7">
        <f t="shared" si="3"/>
        <v>0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 ht="15" thickBot="1" x14ac:dyDescent="0.4">
      <c r="A123" s="5" t="s">
        <v>101</v>
      </c>
      <c r="B123" s="7" t="s">
        <v>39</v>
      </c>
      <c r="C123" s="7" t="s">
        <v>64</v>
      </c>
      <c r="D123" s="11" t="s">
        <v>66</v>
      </c>
      <c r="E123" t="s">
        <v>20</v>
      </c>
      <c r="F123" s="5">
        <v>0</v>
      </c>
      <c r="G123" s="5">
        <v>0</v>
      </c>
      <c r="H123" s="7">
        <f t="shared" si="2"/>
        <v>0</v>
      </c>
      <c r="I123" s="7">
        <f t="shared" si="3"/>
        <v>0</v>
      </c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 ht="15" thickBot="1" x14ac:dyDescent="0.4">
      <c r="A124" s="5" t="s">
        <v>101</v>
      </c>
      <c r="B124" s="7" t="s">
        <v>39</v>
      </c>
      <c r="C124" s="7" t="s">
        <v>64</v>
      </c>
      <c r="D124" s="11" t="s">
        <v>67</v>
      </c>
      <c r="E124" t="s">
        <v>22</v>
      </c>
      <c r="F124" s="5">
        <v>40</v>
      </c>
      <c r="G124" s="5">
        <v>40</v>
      </c>
      <c r="H124" s="7">
        <f t="shared" si="2"/>
        <v>280</v>
      </c>
      <c r="I124" s="7">
        <f t="shared" si="3"/>
        <v>0.81200000000000006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 thickBot="1" x14ac:dyDescent="0.4">
      <c r="A125" s="5" t="s">
        <v>101</v>
      </c>
      <c r="B125" s="7" t="s">
        <v>68</v>
      </c>
      <c r="C125" s="7" t="s">
        <v>69</v>
      </c>
      <c r="D125" s="11" t="s">
        <v>70</v>
      </c>
      <c r="E125" t="s">
        <v>116</v>
      </c>
      <c r="F125" s="5">
        <v>4</v>
      </c>
      <c r="G125" s="5">
        <v>4</v>
      </c>
      <c r="H125" s="7">
        <f t="shared" si="2"/>
        <v>28</v>
      </c>
      <c r="I125" s="7">
        <f t="shared" si="3"/>
        <v>8.1200000000000008E-2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 thickBot="1" x14ac:dyDescent="0.4">
      <c r="A126" s="5" t="s">
        <v>101</v>
      </c>
      <c r="B126" s="7" t="s">
        <v>68</v>
      </c>
      <c r="C126" s="7" t="s">
        <v>69</v>
      </c>
      <c r="D126" s="11" t="s">
        <v>71</v>
      </c>
      <c r="E126" t="s">
        <v>117</v>
      </c>
      <c r="F126" s="5">
        <v>4</v>
      </c>
      <c r="G126" s="5">
        <v>5</v>
      </c>
      <c r="H126" s="7">
        <f t="shared" si="2"/>
        <v>35</v>
      </c>
      <c r="I126" s="7">
        <f t="shared" si="3"/>
        <v>0.10150000000000001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 thickBot="1" x14ac:dyDescent="0.4">
      <c r="A127" s="5" t="s">
        <v>101</v>
      </c>
      <c r="B127" s="7" t="s">
        <v>68</v>
      </c>
      <c r="C127" s="7" t="s">
        <v>69</v>
      </c>
      <c r="D127" s="11" t="s">
        <v>72</v>
      </c>
      <c r="E127" t="s">
        <v>118</v>
      </c>
      <c r="F127" s="5">
        <v>3</v>
      </c>
      <c r="G127" s="5">
        <v>4</v>
      </c>
      <c r="H127" s="7">
        <f t="shared" si="2"/>
        <v>28</v>
      </c>
      <c r="I127" s="7">
        <f t="shared" si="3"/>
        <v>8.1200000000000008E-2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 thickBot="1" x14ac:dyDescent="0.4">
      <c r="A128" s="5" t="s">
        <v>101</v>
      </c>
      <c r="B128" s="7" t="s">
        <v>68</v>
      </c>
      <c r="C128" s="7" t="s">
        <v>69</v>
      </c>
      <c r="D128" s="11" t="s">
        <v>73</v>
      </c>
      <c r="E128" t="s">
        <v>119</v>
      </c>
      <c r="F128" s="5">
        <v>4</v>
      </c>
      <c r="G128" s="5">
        <v>5</v>
      </c>
      <c r="H128" s="7">
        <f t="shared" si="2"/>
        <v>35</v>
      </c>
      <c r="I128" s="7">
        <f t="shared" si="3"/>
        <v>0.10150000000000001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 thickBot="1" x14ac:dyDescent="0.4">
      <c r="A129" s="5" t="s">
        <v>101</v>
      </c>
      <c r="B129" s="7" t="s">
        <v>68</v>
      </c>
      <c r="C129" s="7" t="s">
        <v>40</v>
      </c>
      <c r="D129" s="11" t="s">
        <v>74</v>
      </c>
      <c r="E129" t="s">
        <v>120</v>
      </c>
      <c r="F129" s="5">
        <v>8</v>
      </c>
      <c r="G129" s="5">
        <v>12</v>
      </c>
      <c r="H129" s="7">
        <f t="shared" si="2"/>
        <v>84</v>
      </c>
      <c r="I129" s="7">
        <f t="shared" si="3"/>
        <v>0.24359999999999998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 thickBot="1" x14ac:dyDescent="0.4">
      <c r="A130" s="5" t="s">
        <v>101</v>
      </c>
      <c r="B130" s="7" t="s">
        <v>68</v>
      </c>
      <c r="C130" s="7" t="s">
        <v>40</v>
      </c>
      <c r="D130" s="11" t="s">
        <v>75</v>
      </c>
      <c r="E130" s="11" t="s">
        <v>121</v>
      </c>
      <c r="F130" s="5">
        <v>2</v>
      </c>
      <c r="G130" s="5">
        <v>3</v>
      </c>
      <c r="H130" s="7">
        <f t="shared" si="2"/>
        <v>21</v>
      </c>
      <c r="I130" s="7">
        <f t="shared" si="3"/>
        <v>6.0899999999999996E-2</v>
      </c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 thickBot="1" x14ac:dyDescent="0.4">
      <c r="A131" s="5" t="s">
        <v>101</v>
      </c>
      <c r="B131" s="7" t="s">
        <v>68</v>
      </c>
      <c r="C131" s="7" t="s">
        <v>40</v>
      </c>
      <c r="D131" s="11" t="s">
        <v>76</v>
      </c>
      <c r="E131" s="11" t="s">
        <v>122</v>
      </c>
      <c r="F131" s="5">
        <v>0</v>
      </c>
      <c r="G131" s="5">
        <v>0</v>
      </c>
      <c r="H131" s="7">
        <f t="shared" ref="H131:H194" si="4">G131*7</f>
        <v>0</v>
      </c>
      <c r="I131" s="7">
        <f t="shared" ref="I131:I194" si="5">H131*2.9/(1000)</f>
        <v>0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 thickBot="1" x14ac:dyDescent="0.4">
      <c r="A132" s="5" t="s">
        <v>101</v>
      </c>
      <c r="B132" s="7" t="s">
        <v>68</v>
      </c>
      <c r="C132" s="7" t="s">
        <v>41</v>
      </c>
      <c r="D132" s="11" t="s">
        <v>77</v>
      </c>
      <c r="E132" t="s">
        <v>23</v>
      </c>
      <c r="F132" s="5">
        <v>50</v>
      </c>
      <c r="G132" s="5">
        <v>59</v>
      </c>
      <c r="H132" s="7">
        <f t="shared" si="4"/>
        <v>413</v>
      </c>
      <c r="I132" s="7">
        <f t="shared" si="5"/>
        <v>1.1977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 thickBot="1" x14ac:dyDescent="0.4">
      <c r="A133" s="5" t="s">
        <v>101</v>
      </c>
      <c r="B133" s="7" t="s">
        <v>68</v>
      </c>
      <c r="C133" s="7" t="s">
        <v>41</v>
      </c>
      <c r="D133" s="11" t="s">
        <v>78</v>
      </c>
      <c r="E133" t="s">
        <v>24</v>
      </c>
      <c r="F133" s="5">
        <v>10</v>
      </c>
      <c r="G133" s="5">
        <v>10</v>
      </c>
      <c r="H133" s="7">
        <f t="shared" si="4"/>
        <v>70</v>
      </c>
      <c r="I133" s="7">
        <f t="shared" si="5"/>
        <v>0.20300000000000001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 thickBot="1" x14ac:dyDescent="0.4">
      <c r="A134" s="5" t="s">
        <v>101</v>
      </c>
      <c r="B134" s="7" t="s">
        <v>68</v>
      </c>
      <c r="C134" s="7" t="s">
        <v>42</v>
      </c>
      <c r="D134" s="6" t="s">
        <v>71</v>
      </c>
      <c r="E134" t="s">
        <v>123</v>
      </c>
      <c r="F134" s="5">
        <v>3</v>
      </c>
      <c r="G134" s="5">
        <v>3</v>
      </c>
      <c r="H134" s="7">
        <f t="shared" si="4"/>
        <v>21</v>
      </c>
      <c r="I134" s="7">
        <f t="shared" si="5"/>
        <v>6.0899999999999996E-2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 thickBot="1" x14ac:dyDescent="0.4">
      <c r="A135" s="5" t="s">
        <v>101</v>
      </c>
      <c r="B135" s="7" t="s">
        <v>68</v>
      </c>
      <c r="C135" s="7" t="s">
        <v>42</v>
      </c>
      <c r="D135" s="6" t="s">
        <v>73</v>
      </c>
      <c r="E135" t="s">
        <v>124</v>
      </c>
      <c r="F135" s="5">
        <v>3</v>
      </c>
      <c r="G135" s="5">
        <v>3</v>
      </c>
      <c r="H135" s="7">
        <f t="shared" si="4"/>
        <v>21</v>
      </c>
      <c r="I135" s="7">
        <f t="shared" si="5"/>
        <v>6.0899999999999996E-2</v>
      </c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 thickBot="1" x14ac:dyDescent="0.4">
      <c r="A136" s="5" t="s">
        <v>101</v>
      </c>
      <c r="B136" s="7" t="s">
        <v>68</v>
      </c>
      <c r="C136" s="7" t="s">
        <v>42</v>
      </c>
      <c r="D136" s="6" t="s">
        <v>74</v>
      </c>
      <c r="E136" t="s">
        <v>125</v>
      </c>
      <c r="F136" s="5">
        <v>3</v>
      </c>
      <c r="G136" s="5">
        <v>3</v>
      </c>
      <c r="H136" s="7">
        <f t="shared" si="4"/>
        <v>21</v>
      </c>
      <c r="I136" s="7">
        <f t="shared" si="5"/>
        <v>6.0899999999999996E-2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 thickBot="1" x14ac:dyDescent="0.4">
      <c r="A137" s="5" t="s">
        <v>101</v>
      </c>
      <c r="B137" s="7" t="s">
        <v>68</v>
      </c>
      <c r="C137" s="7" t="s">
        <v>42</v>
      </c>
      <c r="D137" s="6" t="s">
        <v>76</v>
      </c>
      <c r="E137" t="s">
        <v>126</v>
      </c>
      <c r="F137" s="5">
        <v>0</v>
      </c>
      <c r="G137" s="5">
        <v>0</v>
      </c>
      <c r="H137" s="7">
        <f t="shared" si="4"/>
        <v>0</v>
      </c>
      <c r="I137" s="7">
        <f t="shared" si="5"/>
        <v>0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 thickBot="1" x14ac:dyDescent="0.4">
      <c r="A138" s="5" t="s">
        <v>101</v>
      </c>
      <c r="B138" s="7" t="s">
        <v>68</v>
      </c>
      <c r="C138" s="7" t="s">
        <v>79</v>
      </c>
      <c r="D138" s="11" t="s">
        <v>79</v>
      </c>
      <c r="E138" t="s">
        <v>25</v>
      </c>
      <c r="F138" s="5">
        <v>25</v>
      </c>
      <c r="G138" s="5">
        <v>28</v>
      </c>
      <c r="H138" s="7">
        <f t="shared" si="4"/>
        <v>196</v>
      </c>
      <c r="I138" s="7">
        <f t="shared" si="5"/>
        <v>0.56840000000000002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 thickBot="1" x14ac:dyDescent="0.4">
      <c r="A139" s="5" t="s">
        <v>101</v>
      </c>
      <c r="B139" s="7" t="s">
        <v>80</v>
      </c>
      <c r="C139" s="7" t="s">
        <v>43</v>
      </c>
      <c r="D139" s="11" t="s">
        <v>43</v>
      </c>
      <c r="E139" t="s">
        <v>26</v>
      </c>
      <c r="F139" s="5">
        <v>60</v>
      </c>
      <c r="G139" s="5">
        <v>60</v>
      </c>
      <c r="H139" s="7">
        <f t="shared" si="4"/>
        <v>420</v>
      </c>
      <c r="I139" s="7">
        <f t="shared" si="5"/>
        <v>1.218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 thickBot="1" x14ac:dyDescent="0.4">
      <c r="A140" s="5" t="s">
        <v>101</v>
      </c>
      <c r="B140" s="7" t="s">
        <v>80</v>
      </c>
      <c r="C140" s="7" t="s">
        <v>43</v>
      </c>
      <c r="D140" s="11" t="s">
        <v>81</v>
      </c>
      <c r="E140" t="s">
        <v>27</v>
      </c>
      <c r="F140" s="5">
        <v>0</v>
      </c>
      <c r="G140" s="5">
        <v>0</v>
      </c>
      <c r="H140" s="7">
        <f t="shared" si="4"/>
        <v>0</v>
      </c>
      <c r="I140" s="7">
        <f t="shared" si="5"/>
        <v>0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5" thickBot="1" x14ac:dyDescent="0.4">
      <c r="A141" s="5" t="s">
        <v>101</v>
      </c>
      <c r="B141" s="7" t="s">
        <v>80</v>
      </c>
      <c r="C141" s="7" t="s">
        <v>44</v>
      </c>
      <c r="D141" s="11" t="s">
        <v>82</v>
      </c>
      <c r="E141" t="s">
        <v>127</v>
      </c>
      <c r="F141" s="5">
        <v>8</v>
      </c>
      <c r="G141" s="5">
        <v>10</v>
      </c>
      <c r="H141" s="7">
        <f t="shared" si="4"/>
        <v>70</v>
      </c>
      <c r="I141" s="7">
        <f t="shared" si="5"/>
        <v>0.20300000000000001</v>
      </c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 ht="15" thickBot="1" x14ac:dyDescent="0.4">
      <c r="A142" s="5" t="s">
        <v>101</v>
      </c>
      <c r="B142" s="7" t="s">
        <v>80</v>
      </c>
      <c r="C142" s="7" t="s">
        <v>44</v>
      </c>
      <c r="D142" s="11" t="s">
        <v>83</v>
      </c>
      <c r="E142" t="s">
        <v>28</v>
      </c>
      <c r="F142" s="5">
        <v>8</v>
      </c>
      <c r="G142" s="5">
        <v>10</v>
      </c>
      <c r="H142" s="7">
        <f t="shared" si="4"/>
        <v>70</v>
      </c>
      <c r="I142" s="7">
        <f t="shared" si="5"/>
        <v>0.20300000000000001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 ht="15" thickBot="1" x14ac:dyDescent="0.4">
      <c r="A143" s="5" t="s">
        <v>101</v>
      </c>
      <c r="B143" s="7" t="s">
        <v>45</v>
      </c>
      <c r="C143" s="7" t="s">
        <v>84</v>
      </c>
      <c r="D143" t="s">
        <v>84</v>
      </c>
      <c r="E143" t="s">
        <v>30</v>
      </c>
      <c r="F143" s="5">
        <v>19</v>
      </c>
      <c r="G143" s="5">
        <v>19</v>
      </c>
      <c r="H143" s="7">
        <f t="shared" si="4"/>
        <v>133</v>
      </c>
      <c r="I143" s="7">
        <f t="shared" si="5"/>
        <v>0.38569999999999999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 ht="15" thickBot="1" x14ac:dyDescent="0.4">
      <c r="A144" s="5" t="s">
        <v>101</v>
      </c>
      <c r="B144" s="7" t="s">
        <v>45</v>
      </c>
      <c r="C144" s="7" t="s">
        <v>85</v>
      </c>
      <c r="D144" t="s">
        <v>85</v>
      </c>
      <c r="E144" t="s">
        <v>31</v>
      </c>
      <c r="F144" s="5">
        <v>4</v>
      </c>
      <c r="G144" s="5">
        <v>4</v>
      </c>
      <c r="H144" s="7">
        <f t="shared" si="4"/>
        <v>28</v>
      </c>
      <c r="I144" s="7">
        <f t="shared" si="5"/>
        <v>8.1200000000000008E-2</v>
      </c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spans="1:28" ht="15" thickBot="1" x14ac:dyDescent="0.4">
      <c r="A145" s="5" t="s">
        <v>101</v>
      </c>
      <c r="B145" s="7" t="s">
        <v>86</v>
      </c>
      <c r="C145" s="7" t="s">
        <v>87</v>
      </c>
      <c r="D145" s="11" t="s">
        <v>87</v>
      </c>
      <c r="E145" t="s">
        <v>29</v>
      </c>
      <c r="F145" s="5">
        <v>50</v>
      </c>
      <c r="G145" s="5">
        <v>50</v>
      </c>
      <c r="H145" s="7">
        <f t="shared" si="4"/>
        <v>350</v>
      </c>
      <c r="I145" s="7">
        <f t="shared" si="5"/>
        <v>1.0149999999999999</v>
      </c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spans="1:28" ht="15" thickBot="1" x14ac:dyDescent="0.4">
      <c r="A146" s="5" t="s">
        <v>101</v>
      </c>
      <c r="B146" s="7" t="s">
        <v>86</v>
      </c>
      <c r="C146" s="7" t="s">
        <v>46</v>
      </c>
      <c r="D146" s="11" t="s">
        <v>88</v>
      </c>
      <c r="E146" s="11" t="s">
        <v>88</v>
      </c>
      <c r="F146" s="5">
        <v>5</v>
      </c>
      <c r="G146" s="5">
        <v>5</v>
      </c>
      <c r="H146" s="7">
        <f t="shared" si="4"/>
        <v>35</v>
      </c>
      <c r="I146" s="7">
        <f t="shared" si="5"/>
        <v>0.10150000000000001</v>
      </c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spans="1:28" ht="15" thickBot="1" x14ac:dyDescent="0.4">
      <c r="A147" s="5" t="s">
        <v>101</v>
      </c>
      <c r="B147" s="7" t="s">
        <v>86</v>
      </c>
      <c r="C147" s="7" t="s">
        <v>46</v>
      </c>
      <c r="D147" s="11" t="s">
        <v>89</v>
      </c>
      <c r="E147" s="11" t="s">
        <v>89</v>
      </c>
      <c r="F147" s="5">
        <v>0</v>
      </c>
      <c r="G147" s="5">
        <v>0</v>
      </c>
      <c r="H147" s="7">
        <f t="shared" si="4"/>
        <v>0</v>
      </c>
      <c r="I147" s="7">
        <f t="shared" si="5"/>
        <v>0</v>
      </c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spans="1:28" ht="15" thickBot="1" x14ac:dyDescent="0.4">
      <c r="A148" s="5" t="s">
        <v>101</v>
      </c>
      <c r="B148" s="7" t="s">
        <v>86</v>
      </c>
      <c r="C148" s="7" t="s">
        <v>46</v>
      </c>
      <c r="D148" s="11" t="s">
        <v>90</v>
      </c>
      <c r="E148" s="11" t="s">
        <v>90</v>
      </c>
      <c r="F148" s="5">
        <v>5</v>
      </c>
      <c r="G148" s="5">
        <v>5</v>
      </c>
      <c r="H148" s="7">
        <f t="shared" si="4"/>
        <v>35</v>
      </c>
      <c r="I148" s="7">
        <f t="shared" si="5"/>
        <v>0.10150000000000001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spans="1:28" ht="15" thickBot="1" x14ac:dyDescent="0.4">
      <c r="A149" s="5" t="s">
        <v>101</v>
      </c>
      <c r="B149" s="7" t="s">
        <v>86</v>
      </c>
      <c r="C149" s="7" t="s">
        <v>46</v>
      </c>
      <c r="D149" s="11" t="s">
        <v>91</v>
      </c>
      <c r="E149" s="11" t="s">
        <v>91</v>
      </c>
      <c r="F149" s="5">
        <v>5</v>
      </c>
      <c r="G149" s="5">
        <v>5</v>
      </c>
      <c r="H149" s="7">
        <f t="shared" si="4"/>
        <v>35</v>
      </c>
      <c r="I149" s="7">
        <f t="shared" si="5"/>
        <v>0.10150000000000001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spans="1:28" ht="15" thickBot="1" x14ac:dyDescent="0.4">
      <c r="A150" s="5" t="s">
        <v>101</v>
      </c>
      <c r="B150" s="7" t="s">
        <v>86</v>
      </c>
      <c r="C150" s="7" t="s">
        <v>92</v>
      </c>
      <c r="D150" t="s">
        <v>93</v>
      </c>
      <c r="E150" t="s">
        <v>93</v>
      </c>
      <c r="F150" s="5">
        <v>15</v>
      </c>
      <c r="G150" s="5">
        <v>17</v>
      </c>
      <c r="H150" s="7">
        <f t="shared" si="4"/>
        <v>119</v>
      </c>
      <c r="I150" s="7">
        <f t="shared" si="5"/>
        <v>0.34509999999999996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spans="1:28" ht="15" thickBot="1" x14ac:dyDescent="0.4">
      <c r="A151" s="5" t="s">
        <v>101</v>
      </c>
      <c r="B151" s="7" t="s">
        <v>86</v>
      </c>
      <c r="C151" s="7" t="s">
        <v>92</v>
      </c>
      <c r="D151" t="s">
        <v>94</v>
      </c>
      <c r="E151" t="s">
        <v>94</v>
      </c>
      <c r="F151" s="5">
        <v>3</v>
      </c>
      <c r="G151" s="5">
        <v>3</v>
      </c>
      <c r="H151" s="7">
        <f t="shared" si="4"/>
        <v>21</v>
      </c>
      <c r="I151" s="7">
        <f t="shared" si="5"/>
        <v>6.0899999999999996E-2</v>
      </c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spans="1:28" ht="15" thickBot="1" x14ac:dyDescent="0.4">
      <c r="A152" s="5" t="s">
        <v>102</v>
      </c>
      <c r="B152" s="7" t="s">
        <v>52</v>
      </c>
      <c r="C152" s="7" t="s">
        <v>35</v>
      </c>
      <c r="D152" s="8" t="s">
        <v>47</v>
      </c>
      <c r="E152" t="s">
        <v>3</v>
      </c>
      <c r="F152" s="5">
        <v>30</v>
      </c>
      <c r="G152" s="5">
        <v>30</v>
      </c>
      <c r="H152" s="7">
        <f t="shared" si="4"/>
        <v>210</v>
      </c>
      <c r="I152" s="7">
        <f t="shared" si="5"/>
        <v>0.60899999999999999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spans="1:28" ht="15" thickBot="1" x14ac:dyDescent="0.4">
      <c r="A153" s="5" t="s">
        <v>102</v>
      </c>
      <c r="B153" s="7" t="s">
        <v>52</v>
      </c>
      <c r="C153" s="7" t="s">
        <v>35</v>
      </c>
      <c r="D153" s="8" t="s">
        <v>48</v>
      </c>
      <c r="E153" t="s">
        <v>7</v>
      </c>
      <c r="F153" s="5">
        <v>10</v>
      </c>
      <c r="G153" s="5">
        <v>11</v>
      </c>
      <c r="H153" s="7">
        <f t="shared" si="4"/>
        <v>77</v>
      </c>
      <c r="I153" s="7">
        <f t="shared" si="5"/>
        <v>0.22329999999999997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spans="1:28" ht="15" thickBot="1" x14ac:dyDescent="0.4">
      <c r="A154" s="5" t="s">
        <v>102</v>
      </c>
      <c r="B154" s="7" t="s">
        <v>52</v>
      </c>
      <c r="C154" s="7" t="s">
        <v>35</v>
      </c>
      <c r="D154" s="8" t="s">
        <v>49</v>
      </c>
      <c r="E154" t="s">
        <v>4</v>
      </c>
      <c r="F154" s="5">
        <v>40</v>
      </c>
      <c r="G154" s="5">
        <v>40</v>
      </c>
      <c r="H154" s="7">
        <f t="shared" si="4"/>
        <v>280</v>
      </c>
      <c r="I154" s="7">
        <f t="shared" si="5"/>
        <v>0.81200000000000006</v>
      </c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spans="1:28" ht="15" thickBot="1" x14ac:dyDescent="0.4">
      <c r="A155" s="5" t="s">
        <v>102</v>
      </c>
      <c r="B155" s="7" t="s">
        <v>52</v>
      </c>
      <c r="C155" s="7" t="s">
        <v>35</v>
      </c>
      <c r="D155" s="8" t="s">
        <v>50</v>
      </c>
      <c r="E155" t="s">
        <v>6</v>
      </c>
      <c r="F155" s="5">
        <v>12</v>
      </c>
      <c r="G155" s="5">
        <v>12</v>
      </c>
      <c r="H155" s="7">
        <f t="shared" si="4"/>
        <v>84</v>
      </c>
      <c r="I155" s="7">
        <f t="shared" si="5"/>
        <v>0.24359999999999998</v>
      </c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spans="1:28" ht="15" thickBot="1" x14ac:dyDescent="0.4">
      <c r="A156" s="5" t="s">
        <v>102</v>
      </c>
      <c r="B156" s="7" t="s">
        <v>52</v>
      </c>
      <c r="C156" s="7" t="s">
        <v>35</v>
      </c>
      <c r="D156" s="8" t="s">
        <v>51</v>
      </c>
      <c r="E156" t="s">
        <v>5</v>
      </c>
      <c r="F156" s="5">
        <v>10</v>
      </c>
      <c r="G156" s="5">
        <v>10</v>
      </c>
      <c r="H156" s="7">
        <f t="shared" si="4"/>
        <v>70</v>
      </c>
      <c r="I156" s="7">
        <f t="shared" si="5"/>
        <v>0.20300000000000001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spans="1:28" ht="15" thickBot="1" x14ac:dyDescent="0.4">
      <c r="A157" s="5" t="s">
        <v>102</v>
      </c>
      <c r="B157" s="7" t="s">
        <v>52</v>
      </c>
      <c r="C157" s="7" t="s">
        <v>37</v>
      </c>
      <c r="D157" s="9" t="s">
        <v>114</v>
      </c>
      <c r="E157" t="s">
        <v>8</v>
      </c>
      <c r="F157" s="5">
        <v>90</v>
      </c>
      <c r="G157" s="5">
        <v>105</v>
      </c>
      <c r="H157" s="7">
        <f t="shared" si="4"/>
        <v>735</v>
      </c>
      <c r="I157" s="7">
        <f t="shared" si="5"/>
        <v>2.1315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spans="1:28" ht="15" thickBot="1" x14ac:dyDescent="0.4">
      <c r="A158" s="5" t="s">
        <v>102</v>
      </c>
      <c r="B158" s="7" t="s">
        <v>52</v>
      </c>
      <c r="C158" s="7" t="s">
        <v>37</v>
      </c>
      <c r="D158" s="8" t="s">
        <v>115</v>
      </c>
      <c r="E158" t="s">
        <v>9</v>
      </c>
      <c r="F158" s="5">
        <v>180</v>
      </c>
      <c r="G158" s="5">
        <v>212</v>
      </c>
      <c r="H158" s="7">
        <f t="shared" si="4"/>
        <v>1484</v>
      </c>
      <c r="I158" s="7">
        <f t="shared" si="5"/>
        <v>4.3035999999999994</v>
      </c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spans="1:28" ht="15" thickBot="1" x14ac:dyDescent="0.4">
      <c r="A159" s="5" t="s">
        <v>102</v>
      </c>
      <c r="B159" s="7" t="s">
        <v>52</v>
      </c>
      <c r="C159" s="7" t="s">
        <v>37</v>
      </c>
      <c r="D159" s="10" t="s">
        <v>53</v>
      </c>
      <c r="E159" t="s">
        <v>10</v>
      </c>
      <c r="F159" s="5">
        <v>50</v>
      </c>
      <c r="G159" s="5">
        <v>79</v>
      </c>
      <c r="H159" s="7">
        <f t="shared" si="4"/>
        <v>553</v>
      </c>
      <c r="I159" s="7">
        <f t="shared" si="5"/>
        <v>1.6037000000000001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spans="1:28" ht="15" thickBot="1" x14ac:dyDescent="0.4">
      <c r="A160" s="5" t="s">
        <v>102</v>
      </c>
      <c r="B160" s="7" t="s">
        <v>52</v>
      </c>
      <c r="C160" s="7" t="s">
        <v>37</v>
      </c>
      <c r="D160" s="10" t="s">
        <v>96</v>
      </c>
      <c r="E160" t="s">
        <v>113</v>
      </c>
      <c r="F160" s="5">
        <v>0</v>
      </c>
      <c r="G160" s="5">
        <v>0</v>
      </c>
      <c r="H160" s="7">
        <f t="shared" si="4"/>
        <v>0</v>
      </c>
      <c r="I160" s="7">
        <f t="shared" si="5"/>
        <v>0</v>
      </c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spans="1:28" ht="15" thickBot="1" x14ac:dyDescent="0.4">
      <c r="A161" s="5" t="s">
        <v>102</v>
      </c>
      <c r="B161" s="7" t="s">
        <v>52</v>
      </c>
      <c r="C161" s="7" t="s">
        <v>37</v>
      </c>
      <c r="D161" s="10" t="s">
        <v>50</v>
      </c>
      <c r="E161" t="s">
        <v>11</v>
      </c>
      <c r="F161" s="5">
        <v>10</v>
      </c>
      <c r="G161" s="5">
        <v>10</v>
      </c>
      <c r="H161" s="7">
        <f t="shared" si="4"/>
        <v>70</v>
      </c>
      <c r="I161" s="7">
        <f t="shared" si="5"/>
        <v>0.20300000000000001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spans="1:28" ht="15" thickBot="1" x14ac:dyDescent="0.4">
      <c r="A162" s="5" t="s">
        <v>102</v>
      </c>
      <c r="B162" s="7" t="s">
        <v>54</v>
      </c>
      <c r="C162" s="7" t="s">
        <v>36</v>
      </c>
      <c r="D162" s="8" t="s">
        <v>55</v>
      </c>
      <c r="E162" t="s">
        <v>12</v>
      </c>
      <c r="F162" s="5">
        <v>80</v>
      </c>
      <c r="G162" s="5">
        <v>94</v>
      </c>
      <c r="H162" s="7">
        <f t="shared" si="4"/>
        <v>658</v>
      </c>
      <c r="I162" s="7">
        <f t="shared" si="5"/>
        <v>1.9082000000000001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spans="1:28" ht="15" thickBot="1" x14ac:dyDescent="0.4">
      <c r="A163" s="5" t="s">
        <v>102</v>
      </c>
      <c r="B163" s="7" t="s">
        <v>54</v>
      </c>
      <c r="C163" s="7" t="s">
        <v>36</v>
      </c>
      <c r="D163" s="8" t="s">
        <v>56</v>
      </c>
      <c r="E163" t="s">
        <v>13</v>
      </c>
      <c r="F163" s="5">
        <v>80</v>
      </c>
      <c r="G163" s="5">
        <v>103</v>
      </c>
      <c r="H163" s="7">
        <f t="shared" si="4"/>
        <v>721</v>
      </c>
      <c r="I163" s="7">
        <f t="shared" si="5"/>
        <v>2.0909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spans="1:28" ht="15" thickBot="1" x14ac:dyDescent="0.4">
      <c r="A164" s="5" t="s">
        <v>102</v>
      </c>
      <c r="B164" s="7" t="s">
        <v>54</v>
      </c>
      <c r="C164" s="7" t="s">
        <v>36</v>
      </c>
      <c r="D164" s="8" t="s">
        <v>57</v>
      </c>
      <c r="E164" t="s">
        <v>14</v>
      </c>
      <c r="F164" s="5">
        <v>30</v>
      </c>
      <c r="G164" s="5">
        <v>38</v>
      </c>
      <c r="H164" s="7">
        <f t="shared" si="4"/>
        <v>266</v>
      </c>
      <c r="I164" s="7">
        <f t="shared" si="5"/>
        <v>0.77139999999999997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spans="1:28" ht="15" thickBot="1" x14ac:dyDescent="0.4">
      <c r="A165" s="5" t="s">
        <v>102</v>
      </c>
      <c r="B165" s="7" t="s">
        <v>54</v>
      </c>
      <c r="C165" s="7" t="s">
        <v>38</v>
      </c>
      <c r="D165" s="8" t="s">
        <v>58</v>
      </c>
      <c r="E165" t="s">
        <v>15</v>
      </c>
      <c r="F165" s="5">
        <v>80</v>
      </c>
      <c r="G165" s="5">
        <v>123</v>
      </c>
      <c r="H165" s="7">
        <f t="shared" si="4"/>
        <v>861</v>
      </c>
      <c r="I165" s="7">
        <f t="shared" si="5"/>
        <v>2.4969000000000001</v>
      </c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spans="1:28" ht="15" thickBot="1" x14ac:dyDescent="0.4">
      <c r="A166" s="5" t="s">
        <v>102</v>
      </c>
      <c r="B166" s="7" t="s">
        <v>54</v>
      </c>
      <c r="C166" s="7" t="s">
        <v>38</v>
      </c>
      <c r="D166" s="8" t="s">
        <v>59</v>
      </c>
      <c r="E166" t="s">
        <v>16</v>
      </c>
      <c r="F166" s="5">
        <v>30</v>
      </c>
      <c r="G166" s="5">
        <v>44</v>
      </c>
      <c r="H166" s="7">
        <f t="shared" si="4"/>
        <v>308</v>
      </c>
      <c r="I166" s="7">
        <f t="shared" si="5"/>
        <v>0.89319999999999988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spans="1:28" ht="15" thickBot="1" x14ac:dyDescent="0.4">
      <c r="A167" s="5" t="s">
        <v>102</v>
      </c>
      <c r="B167" s="7" t="s">
        <v>54</v>
      </c>
      <c r="C167" s="7" t="s">
        <v>38</v>
      </c>
      <c r="D167" s="8" t="s">
        <v>60</v>
      </c>
      <c r="E167" t="s">
        <v>17</v>
      </c>
      <c r="F167" s="5">
        <v>80</v>
      </c>
      <c r="G167" s="5">
        <v>123</v>
      </c>
      <c r="H167" s="7">
        <f t="shared" si="4"/>
        <v>861</v>
      </c>
      <c r="I167" s="7">
        <f t="shared" si="5"/>
        <v>2.4969000000000001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spans="1:28" ht="15" thickBot="1" x14ac:dyDescent="0.4">
      <c r="A168" s="5" t="s">
        <v>102</v>
      </c>
      <c r="B168" s="7" t="s">
        <v>39</v>
      </c>
      <c r="C168" s="7" t="s">
        <v>61</v>
      </c>
      <c r="D168" s="11" t="s">
        <v>97</v>
      </c>
      <c r="E168" t="s">
        <v>18</v>
      </c>
      <c r="F168" s="5">
        <v>90</v>
      </c>
      <c r="G168" s="5">
        <v>90</v>
      </c>
      <c r="H168" s="7">
        <f t="shared" si="4"/>
        <v>630</v>
      </c>
      <c r="I168" s="7">
        <f t="shared" si="5"/>
        <v>1.827</v>
      </c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spans="1:28" ht="15" thickBot="1" x14ac:dyDescent="0.4">
      <c r="A169" s="5" t="s">
        <v>102</v>
      </c>
      <c r="B169" s="7" t="s">
        <v>39</v>
      </c>
      <c r="C169" s="7" t="s">
        <v>61</v>
      </c>
      <c r="D169" s="11" t="s">
        <v>62</v>
      </c>
      <c r="E169" t="s">
        <v>19</v>
      </c>
      <c r="F169" s="5">
        <v>0</v>
      </c>
      <c r="G169" s="5">
        <v>0</v>
      </c>
      <c r="H169" s="7">
        <f t="shared" si="4"/>
        <v>0</v>
      </c>
      <c r="I169" s="7">
        <f t="shared" si="5"/>
        <v>0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spans="1:28" ht="15" thickBot="1" x14ac:dyDescent="0.4">
      <c r="A170" s="5" t="s">
        <v>102</v>
      </c>
      <c r="B170" s="7" t="s">
        <v>39</v>
      </c>
      <c r="C170" s="7" t="s">
        <v>61</v>
      </c>
      <c r="D170" s="11" t="s">
        <v>98</v>
      </c>
      <c r="E170" t="s">
        <v>20</v>
      </c>
      <c r="F170" s="5">
        <v>0</v>
      </c>
      <c r="G170" s="5">
        <v>0</v>
      </c>
      <c r="H170" s="7">
        <f t="shared" si="4"/>
        <v>0</v>
      </c>
      <c r="I170" s="7">
        <f t="shared" si="5"/>
        <v>0</v>
      </c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spans="1:28" ht="15" thickBot="1" x14ac:dyDescent="0.4">
      <c r="A171" s="5" t="s">
        <v>102</v>
      </c>
      <c r="B171" s="7" t="s">
        <v>39</v>
      </c>
      <c r="C171" s="7" t="s">
        <v>61</v>
      </c>
      <c r="D171" s="11" t="s">
        <v>63</v>
      </c>
      <c r="E171" t="s">
        <v>21</v>
      </c>
      <c r="F171" s="5">
        <v>35</v>
      </c>
      <c r="G171" s="5">
        <v>35</v>
      </c>
      <c r="H171" s="7">
        <f t="shared" si="4"/>
        <v>245</v>
      </c>
      <c r="I171" s="7">
        <f t="shared" si="5"/>
        <v>0.71050000000000002</v>
      </c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spans="1:28" ht="15" thickBot="1" x14ac:dyDescent="0.4">
      <c r="A172" s="5" t="s">
        <v>102</v>
      </c>
      <c r="B172" s="7" t="s">
        <v>39</v>
      </c>
      <c r="C172" s="7" t="s">
        <v>64</v>
      </c>
      <c r="D172" s="11" t="s">
        <v>65</v>
      </c>
      <c r="E172" t="s">
        <v>20</v>
      </c>
      <c r="F172" s="5">
        <v>0</v>
      </c>
      <c r="G172" s="5">
        <v>0</v>
      </c>
      <c r="H172" s="7">
        <f t="shared" si="4"/>
        <v>0</v>
      </c>
      <c r="I172" s="7">
        <f t="shared" si="5"/>
        <v>0</v>
      </c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spans="1:28" ht="15" thickBot="1" x14ac:dyDescent="0.4">
      <c r="A173" s="5" t="s">
        <v>102</v>
      </c>
      <c r="B173" s="7" t="s">
        <v>39</v>
      </c>
      <c r="C173" s="7" t="s">
        <v>64</v>
      </c>
      <c r="D173" s="11" t="s">
        <v>66</v>
      </c>
      <c r="E173" t="s">
        <v>20</v>
      </c>
      <c r="F173" s="5">
        <v>0</v>
      </c>
      <c r="G173" s="5">
        <v>0</v>
      </c>
      <c r="H173" s="7">
        <f t="shared" si="4"/>
        <v>0</v>
      </c>
      <c r="I173" s="7">
        <f t="shared" si="5"/>
        <v>0</v>
      </c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spans="1:28" ht="15" thickBot="1" x14ac:dyDescent="0.4">
      <c r="A174" s="5" t="s">
        <v>102</v>
      </c>
      <c r="B174" s="7" t="s">
        <v>39</v>
      </c>
      <c r="C174" s="7" t="s">
        <v>64</v>
      </c>
      <c r="D174" s="11" t="s">
        <v>67</v>
      </c>
      <c r="E174" t="s">
        <v>22</v>
      </c>
      <c r="F174" s="5">
        <v>35</v>
      </c>
      <c r="G174" s="5">
        <v>35</v>
      </c>
      <c r="H174" s="7">
        <f t="shared" si="4"/>
        <v>245</v>
      </c>
      <c r="I174" s="7">
        <f t="shared" si="5"/>
        <v>0.71050000000000002</v>
      </c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spans="1:28" ht="15" thickBot="1" x14ac:dyDescent="0.4">
      <c r="A175" s="5" t="s">
        <v>102</v>
      </c>
      <c r="B175" s="7" t="s">
        <v>68</v>
      </c>
      <c r="C175" s="7" t="s">
        <v>69</v>
      </c>
      <c r="D175" s="11" t="s">
        <v>70</v>
      </c>
      <c r="E175" t="s">
        <v>116</v>
      </c>
      <c r="F175" s="5">
        <v>15</v>
      </c>
      <c r="G175" s="5">
        <v>17</v>
      </c>
      <c r="H175" s="7">
        <f t="shared" si="4"/>
        <v>119</v>
      </c>
      <c r="I175" s="7">
        <f t="shared" si="5"/>
        <v>0.34509999999999996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spans="1:28" ht="15" thickBot="1" x14ac:dyDescent="0.4">
      <c r="A176" s="5" t="s">
        <v>102</v>
      </c>
      <c r="B176" s="7" t="s">
        <v>68</v>
      </c>
      <c r="C176" s="7" t="s">
        <v>69</v>
      </c>
      <c r="D176" s="11" t="s">
        <v>71</v>
      </c>
      <c r="E176" t="s">
        <v>117</v>
      </c>
      <c r="F176" s="5">
        <v>15</v>
      </c>
      <c r="G176" s="5">
        <v>19</v>
      </c>
      <c r="H176" s="7">
        <f t="shared" si="4"/>
        <v>133</v>
      </c>
      <c r="I176" s="7">
        <f t="shared" si="5"/>
        <v>0.38569999999999999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spans="1:28" ht="15" thickBot="1" x14ac:dyDescent="0.4">
      <c r="A177" s="5" t="s">
        <v>102</v>
      </c>
      <c r="B177" s="7" t="s">
        <v>68</v>
      </c>
      <c r="C177" s="7" t="s">
        <v>69</v>
      </c>
      <c r="D177" s="11" t="s">
        <v>72</v>
      </c>
      <c r="E177" t="s">
        <v>118</v>
      </c>
      <c r="F177" s="5">
        <v>8</v>
      </c>
      <c r="G177" s="5">
        <v>10</v>
      </c>
      <c r="H177" s="7">
        <f t="shared" si="4"/>
        <v>70</v>
      </c>
      <c r="I177" s="7">
        <f t="shared" si="5"/>
        <v>0.20300000000000001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spans="1:28" ht="15" thickBot="1" x14ac:dyDescent="0.4">
      <c r="A178" s="5" t="s">
        <v>102</v>
      </c>
      <c r="B178" s="7" t="s">
        <v>68</v>
      </c>
      <c r="C178" s="7" t="s">
        <v>69</v>
      </c>
      <c r="D178" s="11" t="s">
        <v>73</v>
      </c>
      <c r="E178" t="s">
        <v>119</v>
      </c>
      <c r="F178" s="5">
        <v>0</v>
      </c>
      <c r="G178" s="5">
        <v>0</v>
      </c>
      <c r="H178" s="7">
        <f t="shared" si="4"/>
        <v>0</v>
      </c>
      <c r="I178" s="7">
        <f t="shared" si="5"/>
        <v>0</v>
      </c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spans="1:28" ht="15" thickBot="1" x14ac:dyDescent="0.4">
      <c r="A179" s="5" t="s">
        <v>102</v>
      </c>
      <c r="B179" s="7" t="s">
        <v>68</v>
      </c>
      <c r="C179" s="7" t="s">
        <v>40</v>
      </c>
      <c r="D179" s="11" t="s">
        <v>74</v>
      </c>
      <c r="E179" t="s">
        <v>120</v>
      </c>
      <c r="F179" s="5">
        <v>18</v>
      </c>
      <c r="G179" s="5">
        <v>27</v>
      </c>
      <c r="H179" s="7">
        <f t="shared" si="4"/>
        <v>189</v>
      </c>
      <c r="I179" s="7">
        <f t="shared" si="5"/>
        <v>0.54810000000000003</v>
      </c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spans="1:28" ht="15" thickBot="1" x14ac:dyDescent="0.4">
      <c r="A180" s="5" t="s">
        <v>102</v>
      </c>
      <c r="B180" s="7" t="s">
        <v>68</v>
      </c>
      <c r="C180" s="7" t="s">
        <v>40</v>
      </c>
      <c r="D180" s="11" t="s">
        <v>75</v>
      </c>
      <c r="E180" s="11" t="s">
        <v>121</v>
      </c>
      <c r="F180" s="5">
        <v>3</v>
      </c>
      <c r="G180" s="5">
        <v>4</v>
      </c>
      <c r="H180" s="7">
        <f t="shared" si="4"/>
        <v>28</v>
      </c>
      <c r="I180" s="7">
        <f t="shared" si="5"/>
        <v>8.1200000000000008E-2</v>
      </c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spans="1:28" ht="15" thickBot="1" x14ac:dyDescent="0.4">
      <c r="A181" s="5" t="s">
        <v>102</v>
      </c>
      <c r="B181" s="7" t="s">
        <v>68</v>
      </c>
      <c r="C181" s="7" t="s">
        <v>40</v>
      </c>
      <c r="D181" s="11" t="s">
        <v>76</v>
      </c>
      <c r="E181" s="11" t="s">
        <v>122</v>
      </c>
      <c r="F181" s="5">
        <v>3</v>
      </c>
      <c r="G181" s="5">
        <v>4</v>
      </c>
      <c r="H181" s="7">
        <f t="shared" si="4"/>
        <v>28</v>
      </c>
      <c r="I181" s="7">
        <f t="shared" si="5"/>
        <v>8.1200000000000008E-2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spans="1:28" ht="15" thickBot="1" x14ac:dyDescent="0.4">
      <c r="A182" s="5" t="s">
        <v>102</v>
      </c>
      <c r="B182" s="7" t="s">
        <v>68</v>
      </c>
      <c r="C182" s="7" t="s">
        <v>41</v>
      </c>
      <c r="D182" s="11" t="s">
        <v>77</v>
      </c>
      <c r="E182" t="s">
        <v>23</v>
      </c>
      <c r="F182" s="5">
        <v>8</v>
      </c>
      <c r="G182" s="5">
        <v>9</v>
      </c>
      <c r="H182" s="7">
        <f t="shared" si="4"/>
        <v>63</v>
      </c>
      <c r="I182" s="7">
        <f t="shared" si="5"/>
        <v>0.1827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spans="1:28" ht="15" thickBot="1" x14ac:dyDescent="0.4">
      <c r="A183" s="5" t="s">
        <v>102</v>
      </c>
      <c r="B183" s="7" t="s">
        <v>68</v>
      </c>
      <c r="C183" s="7" t="s">
        <v>41</v>
      </c>
      <c r="D183" s="11" t="s">
        <v>78</v>
      </c>
      <c r="E183" t="s">
        <v>24</v>
      </c>
      <c r="F183" s="5">
        <v>0</v>
      </c>
      <c r="G183" s="5">
        <v>0</v>
      </c>
      <c r="H183" s="7">
        <f t="shared" si="4"/>
        <v>0</v>
      </c>
      <c r="I183" s="7">
        <f t="shared" si="5"/>
        <v>0</v>
      </c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spans="1:28" ht="15" thickBot="1" x14ac:dyDescent="0.4">
      <c r="A184" s="5" t="s">
        <v>102</v>
      </c>
      <c r="B184" s="7" t="s">
        <v>68</v>
      </c>
      <c r="C184" s="7" t="s">
        <v>42</v>
      </c>
      <c r="D184" s="6" t="s">
        <v>71</v>
      </c>
      <c r="E184" t="s">
        <v>123</v>
      </c>
      <c r="F184" s="5">
        <v>8</v>
      </c>
      <c r="G184" s="5">
        <v>9</v>
      </c>
      <c r="H184" s="7">
        <f t="shared" si="4"/>
        <v>63</v>
      </c>
      <c r="I184" s="7">
        <f t="shared" si="5"/>
        <v>0.1827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spans="1:28" ht="15" thickBot="1" x14ac:dyDescent="0.4">
      <c r="A185" s="5" t="s">
        <v>102</v>
      </c>
      <c r="B185" s="7" t="s">
        <v>68</v>
      </c>
      <c r="C185" s="7" t="s">
        <v>42</v>
      </c>
      <c r="D185" s="6" t="s">
        <v>73</v>
      </c>
      <c r="E185" t="s">
        <v>124</v>
      </c>
      <c r="F185" s="5">
        <v>0</v>
      </c>
      <c r="G185" s="5">
        <v>0</v>
      </c>
      <c r="H185" s="7">
        <f t="shared" si="4"/>
        <v>0</v>
      </c>
      <c r="I185" s="7">
        <f t="shared" si="5"/>
        <v>0</v>
      </c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spans="1:28" ht="15" thickBot="1" x14ac:dyDescent="0.4">
      <c r="A186" s="5" t="s">
        <v>102</v>
      </c>
      <c r="B186" s="7" t="s">
        <v>68</v>
      </c>
      <c r="C186" s="7" t="s">
        <v>42</v>
      </c>
      <c r="D186" s="6" t="s">
        <v>74</v>
      </c>
      <c r="E186" t="s">
        <v>125</v>
      </c>
      <c r="F186" s="5">
        <v>4</v>
      </c>
      <c r="G186" s="5">
        <v>5</v>
      </c>
      <c r="H186" s="7">
        <f t="shared" si="4"/>
        <v>35</v>
      </c>
      <c r="I186" s="7">
        <f t="shared" si="5"/>
        <v>0.10150000000000001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spans="1:28" ht="15" thickBot="1" x14ac:dyDescent="0.4">
      <c r="A187" s="5" t="s">
        <v>102</v>
      </c>
      <c r="B187" s="7" t="s">
        <v>68</v>
      </c>
      <c r="C187" s="7" t="s">
        <v>42</v>
      </c>
      <c r="D187" s="6" t="s">
        <v>76</v>
      </c>
      <c r="E187" t="s">
        <v>126</v>
      </c>
      <c r="F187" s="5">
        <v>0</v>
      </c>
      <c r="G187" s="5">
        <v>0</v>
      </c>
      <c r="H187" s="7">
        <f t="shared" si="4"/>
        <v>0</v>
      </c>
      <c r="I187" s="7">
        <f t="shared" si="5"/>
        <v>0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spans="1:28" ht="15" thickBot="1" x14ac:dyDescent="0.4">
      <c r="A188" s="5" t="s">
        <v>102</v>
      </c>
      <c r="B188" s="7" t="s">
        <v>68</v>
      </c>
      <c r="C188" s="7" t="s">
        <v>79</v>
      </c>
      <c r="D188" s="11" t="s">
        <v>79</v>
      </c>
      <c r="E188" t="s">
        <v>25</v>
      </c>
      <c r="F188" s="5">
        <v>25</v>
      </c>
      <c r="G188" s="5">
        <v>28</v>
      </c>
      <c r="H188" s="7">
        <f t="shared" si="4"/>
        <v>196</v>
      </c>
      <c r="I188" s="7">
        <f t="shared" si="5"/>
        <v>0.56840000000000002</v>
      </c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spans="1:28" ht="15" thickBot="1" x14ac:dyDescent="0.4">
      <c r="A189" s="5" t="s">
        <v>102</v>
      </c>
      <c r="B189" s="7" t="s">
        <v>80</v>
      </c>
      <c r="C189" s="7" t="s">
        <v>43</v>
      </c>
      <c r="D189" s="11" t="s">
        <v>43</v>
      </c>
      <c r="E189" t="s">
        <v>26</v>
      </c>
      <c r="F189" s="5">
        <v>80</v>
      </c>
      <c r="G189" s="5">
        <v>80</v>
      </c>
      <c r="H189" s="7">
        <f t="shared" si="4"/>
        <v>560</v>
      </c>
      <c r="I189" s="7">
        <f t="shared" si="5"/>
        <v>1.6240000000000001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spans="1:28" ht="15" thickBot="1" x14ac:dyDescent="0.4">
      <c r="A190" s="5" t="s">
        <v>102</v>
      </c>
      <c r="B190" s="7" t="s">
        <v>80</v>
      </c>
      <c r="C190" s="7" t="s">
        <v>43</v>
      </c>
      <c r="D190" s="11" t="s">
        <v>81</v>
      </c>
      <c r="E190" t="s">
        <v>27</v>
      </c>
      <c r="F190" s="5">
        <v>0</v>
      </c>
      <c r="G190" s="5">
        <v>0</v>
      </c>
      <c r="H190" s="7">
        <f t="shared" si="4"/>
        <v>0</v>
      </c>
      <c r="I190" s="7">
        <f t="shared" si="5"/>
        <v>0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spans="1:28" ht="15" thickBot="1" x14ac:dyDescent="0.4">
      <c r="A191" s="5" t="s">
        <v>102</v>
      </c>
      <c r="B191" s="7" t="s">
        <v>80</v>
      </c>
      <c r="C191" s="7" t="s">
        <v>44</v>
      </c>
      <c r="D191" s="11" t="s">
        <v>82</v>
      </c>
      <c r="E191" t="s">
        <v>127</v>
      </c>
      <c r="F191" s="5">
        <v>25</v>
      </c>
      <c r="G191" s="5">
        <v>31</v>
      </c>
      <c r="H191" s="7">
        <f t="shared" si="4"/>
        <v>217</v>
      </c>
      <c r="I191" s="7">
        <f t="shared" si="5"/>
        <v>0.62929999999999997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spans="1:28" ht="15" thickBot="1" x14ac:dyDescent="0.4">
      <c r="A192" s="5" t="s">
        <v>102</v>
      </c>
      <c r="B192" s="7" t="s">
        <v>80</v>
      </c>
      <c r="C192" s="7" t="s">
        <v>44</v>
      </c>
      <c r="D192" s="11" t="s">
        <v>83</v>
      </c>
      <c r="E192" t="s">
        <v>28</v>
      </c>
      <c r="F192" s="5">
        <v>10</v>
      </c>
      <c r="G192" s="5">
        <v>12</v>
      </c>
      <c r="H192" s="7">
        <f t="shared" si="4"/>
        <v>84</v>
      </c>
      <c r="I192" s="7">
        <f t="shared" si="5"/>
        <v>0.24359999999999998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spans="1:28" ht="15" thickBot="1" x14ac:dyDescent="0.4">
      <c r="A193" s="5" t="s">
        <v>102</v>
      </c>
      <c r="B193" s="7" t="s">
        <v>45</v>
      </c>
      <c r="C193" s="7" t="s">
        <v>84</v>
      </c>
      <c r="D193" t="s">
        <v>84</v>
      </c>
      <c r="E193" t="s">
        <v>30</v>
      </c>
      <c r="F193" s="5">
        <v>10</v>
      </c>
      <c r="G193" s="5">
        <v>10</v>
      </c>
      <c r="H193" s="7">
        <f t="shared" si="4"/>
        <v>70</v>
      </c>
      <c r="I193" s="7">
        <f t="shared" si="5"/>
        <v>0.20300000000000001</v>
      </c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spans="1:28" ht="15" thickBot="1" x14ac:dyDescent="0.4">
      <c r="A194" s="5" t="s">
        <v>102</v>
      </c>
      <c r="B194" s="7" t="s">
        <v>45</v>
      </c>
      <c r="C194" s="7" t="s">
        <v>85</v>
      </c>
      <c r="D194" t="s">
        <v>85</v>
      </c>
      <c r="E194" t="s">
        <v>31</v>
      </c>
      <c r="F194" s="5">
        <v>5</v>
      </c>
      <c r="G194" s="5">
        <v>5</v>
      </c>
      <c r="H194" s="7">
        <f t="shared" si="4"/>
        <v>35</v>
      </c>
      <c r="I194" s="7">
        <f t="shared" si="5"/>
        <v>0.10150000000000001</v>
      </c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spans="1:28" ht="15" thickBot="1" x14ac:dyDescent="0.4">
      <c r="A195" s="5" t="s">
        <v>102</v>
      </c>
      <c r="B195" s="7" t="s">
        <v>86</v>
      </c>
      <c r="C195" s="7" t="s">
        <v>87</v>
      </c>
      <c r="D195" s="11" t="s">
        <v>87</v>
      </c>
      <c r="E195" t="s">
        <v>29</v>
      </c>
      <c r="F195" s="5">
        <v>50</v>
      </c>
      <c r="G195" s="5">
        <v>50</v>
      </c>
      <c r="H195" s="7">
        <f t="shared" ref="H195:H258" si="6">G195*7</f>
        <v>350</v>
      </c>
      <c r="I195" s="7">
        <f t="shared" ref="I195:I258" si="7">H195*2.9/(1000)</f>
        <v>1.0149999999999999</v>
      </c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spans="1:28" ht="15" thickBot="1" x14ac:dyDescent="0.4">
      <c r="A196" s="5" t="s">
        <v>102</v>
      </c>
      <c r="B196" s="7" t="s">
        <v>86</v>
      </c>
      <c r="C196" s="7" t="s">
        <v>46</v>
      </c>
      <c r="D196" s="11" t="s">
        <v>88</v>
      </c>
      <c r="E196" s="11" t="s">
        <v>88</v>
      </c>
      <c r="F196" s="5">
        <v>5</v>
      </c>
      <c r="G196" s="5">
        <v>5</v>
      </c>
      <c r="H196" s="7">
        <f t="shared" si="6"/>
        <v>35</v>
      </c>
      <c r="I196" s="7">
        <f t="shared" si="7"/>
        <v>0.10150000000000001</v>
      </c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spans="1:28" ht="15" thickBot="1" x14ac:dyDescent="0.4">
      <c r="A197" s="5" t="s">
        <v>102</v>
      </c>
      <c r="B197" s="7" t="s">
        <v>86</v>
      </c>
      <c r="C197" s="7" t="s">
        <v>46</v>
      </c>
      <c r="D197" s="11" t="s">
        <v>89</v>
      </c>
      <c r="E197" s="11" t="s">
        <v>89</v>
      </c>
      <c r="F197" s="5">
        <v>0</v>
      </c>
      <c r="G197" s="5">
        <v>0</v>
      </c>
      <c r="H197" s="7">
        <f t="shared" si="6"/>
        <v>0</v>
      </c>
      <c r="I197" s="7">
        <f t="shared" si="7"/>
        <v>0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spans="1:28" ht="15" thickBot="1" x14ac:dyDescent="0.4">
      <c r="A198" s="5" t="s">
        <v>102</v>
      </c>
      <c r="B198" s="7" t="s">
        <v>86</v>
      </c>
      <c r="C198" s="7" t="s">
        <v>46</v>
      </c>
      <c r="D198" s="11" t="s">
        <v>90</v>
      </c>
      <c r="E198" s="11" t="s">
        <v>90</v>
      </c>
      <c r="F198" s="5">
        <v>16</v>
      </c>
      <c r="G198" s="5">
        <v>16</v>
      </c>
      <c r="H198" s="7">
        <f t="shared" si="6"/>
        <v>112</v>
      </c>
      <c r="I198" s="7">
        <f t="shared" si="7"/>
        <v>0.32480000000000003</v>
      </c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spans="1:28" ht="15" thickBot="1" x14ac:dyDescent="0.4">
      <c r="A199" s="5" t="s">
        <v>102</v>
      </c>
      <c r="B199" s="7" t="s">
        <v>86</v>
      </c>
      <c r="C199" s="7" t="s">
        <v>46</v>
      </c>
      <c r="D199" s="11" t="s">
        <v>91</v>
      </c>
      <c r="E199" s="11" t="s">
        <v>91</v>
      </c>
      <c r="F199" s="5">
        <v>5</v>
      </c>
      <c r="G199" s="5">
        <v>5</v>
      </c>
      <c r="H199" s="7">
        <f t="shared" si="6"/>
        <v>35</v>
      </c>
      <c r="I199" s="7">
        <f t="shared" si="7"/>
        <v>0.10150000000000001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spans="1:28" ht="15" thickBot="1" x14ac:dyDescent="0.4">
      <c r="A200" s="5" t="s">
        <v>102</v>
      </c>
      <c r="B200" s="7" t="s">
        <v>86</v>
      </c>
      <c r="C200" s="7" t="s">
        <v>92</v>
      </c>
      <c r="D200" t="s">
        <v>93</v>
      </c>
      <c r="E200" t="s">
        <v>93</v>
      </c>
      <c r="F200" s="5">
        <v>8</v>
      </c>
      <c r="G200" s="5">
        <v>9</v>
      </c>
      <c r="H200" s="7">
        <f t="shared" si="6"/>
        <v>63</v>
      </c>
      <c r="I200" s="7">
        <f t="shared" si="7"/>
        <v>0.1827</v>
      </c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spans="1:28" ht="15" thickBot="1" x14ac:dyDescent="0.4">
      <c r="A201" s="5" t="s">
        <v>102</v>
      </c>
      <c r="B201" s="7" t="s">
        <v>86</v>
      </c>
      <c r="C201" s="7" t="s">
        <v>92</v>
      </c>
      <c r="D201" t="s">
        <v>94</v>
      </c>
      <c r="E201" t="s">
        <v>94</v>
      </c>
      <c r="F201" s="5">
        <v>3</v>
      </c>
      <c r="G201" s="5">
        <v>3</v>
      </c>
      <c r="H201" s="7">
        <f t="shared" si="6"/>
        <v>21</v>
      </c>
      <c r="I201" s="7">
        <f t="shared" si="7"/>
        <v>6.0899999999999996E-2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spans="1:28" ht="15" thickBot="1" x14ac:dyDescent="0.4">
      <c r="A202" s="5" t="s">
        <v>103</v>
      </c>
      <c r="B202" s="7" t="s">
        <v>52</v>
      </c>
      <c r="C202" s="7" t="s">
        <v>35</v>
      </c>
      <c r="D202" s="8" t="s">
        <v>47</v>
      </c>
      <c r="E202" t="s">
        <v>3</v>
      </c>
      <c r="F202" s="12">
        <v>40</v>
      </c>
      <c r="G202" s="12">
        <v>40</v>
      </c>
      <c r="H202" s="7">
        <f t="shared" si="6"/>
        <v>280</v>
      </c>
      <c r="I202" s="7">
        <f t="shared" si="7"/>
        <v>0.81200000000000006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spans="1:28" ht="15" thickBot="1" x14ac:dyDescent="0.4">
      <c r="A203" s="5" t="s">
        <v>103</v>
      </c>
      <c r="B203" s="7" t="s">
        <v>52</v>
      </c>
      <c r="C203" s="7" t="s">
        <v>35</v>
      </c>
      <c r="D203" s="8" t="s">
        <v>48</v>
      </c>
      <c r="E203" t="s">
        <v>7</v>
      </c>
      <c r="F203" s="12">
        <v>5</v>
      </c>
      <c r="G203" s="12">
        <v>5.6818181818181817</v>
      </c>
      <c r="H203" s="7">
        <f t="shared" si="6"/>
        <v>39.772727272727273</v>
      </c>
      <c r="I203" s="7">
        <f t="shared" si="7"/>
        <v>0.11534090909090909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spans="1:28" ht="15" thickBot="1" x14ac:dyDescent="0.4">
      <c r="A204" s="5" t="s">
        <v>103</v>
      </c>
      <c r="B204" s="7" t="s">
        <v>52</v>
      </c>
      <c r="C204" s="7" t="s">
        <v>35</v>
      </c>
      <c r="D204" s="8" t="s">
        <v>49</v>
      </c>
      <c r="E204" t="s">
        <v>4</v>
      </c>
      <c r="F204" s="12">
        <v>30</v>
      </c>
      <c r="G204" s="12">
        <v>30</v>
      </c>
      <c r="H204" s="7">
        <f t="shared" si="6"/>
        <v>210</v>
      </c>
      <c r="I204" s="7">
        <f t="shared" si="7"/>
        <v>0.60899999999999999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spans="1:28" ht="15" thickBot="1" x14ac:dyDescent="0.4">
      <c r="A205" s="5" t="s">
        <v>103</v>
      </c>
      <c r="B205" s="7" t="s">
        <v>52</v>
      </c>
      <c r="C205" s="7" t="s">
        <v>35</v>
      </c>
      <c r="D205" s="8" t="s">
        <v>50</v>
      </c>
      <c r="E205" t="s">
        <v>6</v>
      </c>
      <c r="F205" s="12">
        <v>5</v>
      </c>
      <c r="G205" s="12">
        <v>5</v>
      </c>
      <c r="H205" s="7">
        <f t="shared" si="6"/>
        <v>35</v>
      </c>
      <c r="I205" s="7">
        <f t="shared" si="7"/>
        <v>0.10150000000000001</v>
      </c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spans="1:28" ht="15" thickBot="1" x14ac:dyDescent="0.4">
      <c r="A206" s="5" t="s">
        <v>103</v>
      </c>
      <c r="B206" s="7" t="s">
        <v>52</v>
      </c>
      <c r="C206" s="7" t="s">
        <v>35</v>
      </c>
      <c r="D206" s="8" t="s">
        <v>51</v>
      </c>
      <c r="E206" t="s">
        <v>5</v>
      </c>
      <c r="F206" s="12">
        <v>10</v>
      </c>
      <c r="G206" s="12">
        <v>10</v>
      </c>
      <c r="H206" s="7">
        <f t="shared" si="6"/>
        <v>70</v>
      </c>
      <c r="I206" s="7">
        <f t="shared" si="7"/>
        <v>0.20300000000000001</v>
      </c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spans="1:28" ht="15" thickBot="1" x14ac:dyDescent="0.4">
      <c r="A207" s="5" t="s">
        <v>103</v>
      </c>
      <c r="B207" s="7" t="s">
        <v>52</v>
      </c>
      <c r="C207" s="7" t="s">
        <v>37</v>
      </c>
      <c r="D207" s="9" t="s">
        <v>114</v>
      </c>
      <c r="E207" t="s">
        <v>8</v>
      </c>
      <c r="F207" s="12">
        <v>180</v>
      </c>
      <c r="G207" s="7">
        <v>209.30232558139534</v>
      </c>
      <c r="H207" s="7">
        <f t="shared" si="6"/>
        <v>1465.1162790697674</v>
      </c>
      <c r="I207" s="7">
        <f t="shared" si="7"/>
        <v>4.2488372093023257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spans="1:28" ht="15" thickBot="1" x14ac:dyDescent="0.4">
      <c r="A208" s="5" t="s">
        <v>103</v>
      </c>
      <c r="B208" s="7" t="s">
        <v>52</v>
      </c>
      <c r="C208" s="7" t="s">
        <v>37</v>
      </c>
      <c r="D208" s="8" t="s">
        <v>115</v>
      </c>
      <c r="E208" t="s">
        <v>9</v>
      </c>
      <c r="F208" s="12">
        <v>50</v>
      </c>
      <c r="G208" s="7">
        <v>58.823529411764703</v>
      </c>
      <c r="H208" s="7">
        <f t="shared" si="6"/>
        <v>411.76470588235293</v>
      </c>
      <c r="I208" s="7">
        <f t="shared" si="7"/>
        <v>1.1941176470588235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spans="1:28" ht="15" thickBot="1" x14ac:dyDescent="0.4">
      <c r="A209" s="5" t="s">
        <v>103</v>
      </c>
      <c r="B209" s="7" t="s">
        <v>52</v>
      </c>
      <c r="C209" s="7" t="s">
        <v>37</v>
      </c>
      <c r="D209" s="10" t="s">
        <v>53</v>
      </c>
      <c r="E209" t="s">
        <v>10</v>
      </c>
      <c r="F209" s="12">
        <v>160</v>
      </c>
      <c r="G209" s="7">
        <v>253.96825396825398</v>
      </c>
      <c r="H209" s="7">
        <f t="shared" si="6"/>
        <v>1777.7777777777778</v>
      </c>
      <c r="I209" s="7">
        <f t="shared" si="7"/>
        <v>5.1555555555555559</v>
      </c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spans="1:28" ht="15" thickBot="1" x14ac:dyDescent="0.4">
      <c r="A210" s="5" t="s">
        <v>103</v>
      </c>
      <c r="B210" s="7" t="s">
        <v>52</v>
      </c>
      <c r="C210" s="7" t="s">
        <v>37</v>
      </c>
      <c r="D210" s="10" t="s">
        <v>96</v>
      </c>
      <c r="E210" t="s">
        <v>113</v>
      </c>
      <c r="F210" s="12">
        <v>5</v>
      </c>
      <c r="G210" s="7">
        <v>8.064516129032258</v>
      </c>
      <c r="H210" s="7">
        <f t="shared" si="6"/>
        <v>56.451612903225808</v>
      </c>
      <c r="I210" s="7">
        <f t="shared" si="7"/>
        <v>0.16370967741935485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spans="1:28" ht="15" thickBot="1" x14ac:dyDescent="0.4">
      <c r="A211" s="5" t="s">
        <v>103</v>
      </c>
      <c r="B211" s="7" t="s">
        <v>52</v>
      </c>
      <c r="C211" s="7" t="s">
        <v>37</v>
      </c>
      <c r="D211" s="10" t="s">
        <v>50</v>
      </c>
      <c r="E211" t="s">
        <v>11</v>
      </c>
      <c r="F211" s="12">
        <v>10</v>
      </c>
      <c r="G211" s="7">
        <v>10</v>
      </c>
      <c r="H211" s="7">
        <f t="shared" si="6"/>
        <v>70</v>
      </c>
      <c r="I211" s="7">
        <f t="shared" si="7"/>
        <v>0.20300000000000001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spans="1:28" ht="15" thickBot="1" x14ac:dyDescent="0.4">
      <c r="A212" s="5" t="s">
        <v>103</v>
      </c>
      <c r="B212" s="7" t="s">
        <v>54</v>
      </c>
      <c r="C212" s="7" t="s">
        <v>36</v>
      </c>
      <c r="D212" s="8" t="s">
        <v>55</v>
      </c>
      <c r="E212" t="s">
        <v>12</v>
      </c>
      <c r="F212" s="12">
        <v>80</v>
      </c>
      <c r="G212" s="7">
        <v>94.117647058823536</v>
      </c>
      <c r="H212" s="7">
        <f t="shared" si="6"/>
        <v>658.82352941176475</v>
      </c>
      <c r="I212" s="7">
        <f t="shared" si="7"/>
        <v>1.9105882352941177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8" ht="15" thickBot="1" x14ac:dyDescent="0.4">
      <c r="A213" s="5" t="s">
        <v>103</v>
      </c>
      <c r="B213" s="7" t="s">
        <v>54</v>
      </c>
      <c r="C213" s="7" t="s">
        <v>36</v>
      </c>
      <c r="D213" s="8" t="s">
        <v>56</v>
      </c>
      <c r="E213" t="s">
        <v>13</v>
      </c>
      <c r="F213" s="12">
        <v>80</v>
      </c>
      <c r="G213" s="7">
        <v>102.56410256410257</v>
      </c>
      <c r="H213" s="7">
        <f t="shared" si="6"/>
        <v>717.94871794871801</v>
      </c>
      <c r="I213" s="7">
        <f t="shared" si="7"/>
        <v>2.0820512820512822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8" ht="15" thickBot="1" x14ac:dyDescent="0.4">
      <c r="A214" s="5" t="s">
        <v>103</v>
      </c>
      <c r="B214" s="7" t="s">
        <v>54</v>
      </c>
      <c r="C214" s="7" t="s">
        <v>36</v>
      </c>
      <c r="D214" s="8" t="s">
        <v>57</v>
      </c>
      <c r="E214" t="s">
        <v>14</v>
      </c>
      <c r="F214" s="12">
        <v>30</v>
      </c>
      <c r="G214" s="7">
        <v>37.5</v>
      </c>
      <c r="H214" s="7">
        <f t="shared" si="6"/>
        <v>262.5</v>
      </c>
      <c r="I214" s="7">
        <f t="shared" si="7"/>
        <v>0.76124999999999998</v>
      </c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8" ht="15" thickBot="1" x14ac:dyDescent="0.4">
      <c r="A215" s="5" t="s">
        <v>103</v>
      </c>
      <c r="B215" s="7" t="s">
        <v>54</v>
      </c>
      <c r="C215" s="7" t="s">
        <v>38</v>
      </c>
      <c r="D215" s="8" t="s">
        <v>58</v>
      </c>
      <c r="E215" t="s">
        <v>15</v>
      </c>
      <c r="F215" s="12">
        <v>80</v>
      </c>
      <c r="G215" s="7">
        <v>123.07692307692308</v>
      </c>
      <c r="H215" s="7">
        <f t="shared" si="6"/>
        <v>861.53846153846155</v>
      </c>
      <c r="I215" s="7">
        <f t="shared" si="7"/>
        <v>2.4984615384615387</v>
      </c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spans="1:28" ht="15" thickBot="1" x14ac:dyDescent="0.4">
      <c r="A216" s="5" t="s">
        <v>103</v>
      </c>
      <c r="B216" s="7" t="s">
        <v>54</v>
      </c>
      <c r="C216" s="7" t="s">
        <v>38</v>
      </c>
      <c r="D216" s="8" t="s">
        <v>59</v>
      </c>
      <c r="E216" t="s">
        <v>16</v>
      </c>
      <c r="F216" s="12">
        <v>25</v>
      </c>
      <c r="G216" s="7">
        <v>36.764705882352942</v>
      </c>
      <c r="H216" s="7">
        <f t="shared" si="6"/>
        <v>257.35294117647061</v>
      </c>
      <c r="I216" s="7">
        <f t="shared" si="7"/>
        <v>0.74632352941176472</v>
      </c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spans="1:28" ht="15" thickBot="1" x14ac:dyDescent="0.4">
      <c r="A217" s="5" t="s">
        <v>103</v>
      </c>
      <c r="B217" s="7" t="s">
        <v>54</v>
      </c>
      <c r="C217" s="7" t="s">
        <v>38</v>
      </c>
      <c r="D217" s="8" t="s">
        <v>60</v>
      </c>
      <c r="E217" t="s">
        <v>17</v>
      </c>
      <c r="F217" s="12">
        <v>80</v>
      </c>
      <c r="G217" s="7">
        <v>123.07692307692308</v>
      </c>
      <c r="H217" s="7">
        <f t="shared" si="6"/>
        <v>861.53846153846155</v>
      </c>
      <c r="I217" s="7">
        <f t="shared" si="7"/>
        <v>2.4984615384615387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spans="1:28" ht="16" thickBot="1" x14ac:dyDescent="0.4">
      <c r="A218" s="5" t="s">
        <v>103</v>
      </c>
      <c r="B218" s="7" t="s">
        <v>39</v>
      </c>
      <c r="C218" s="7" t="s">
        <v>61</v>
      </c>
      <c r="D218" s="11" t="s">
        <v>97</v>
      </c>
      <c r="E218" t="s">
        <v>18</v>
      </c>
      <c r="F218" s="13">
        <f>+'[1]Depresión momposina'!$D$32</f>
        <v>70</v>
      </c>
      <c r="G218" s="12">
        <v>70</v>
      </c>
      <c r="H218" s="7">
        <f t="shared" si="6"/>
        <v>490</v>
      </c>
      <c r="I218" s="7">
        <f t="shared" si="7"/>
        <v>1.421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spans="1:28" ht="16" thickBot="1" x14ac:dyDescent="0.4">
      <c r="A219" s="5" t="s">
        <v>103</v>
      </c>
      <c r="B219" s="7" t="s">
        <v>39</v>
      </c>
      <c r="C219" s="7" t="s">
        <v>61</v>
      </c>
      <c r="D219" s="11" t="s">
        <v>62</v>
      </c>
      <c r="E219" t="s">
        <v>19</v>
      </c>
      <c r="F219" s="13">
        <f>+'[1]Depresión momposina'!$D$34</f>
        <v>0</v>
      </c>
      <c r="G219" s="12">
        <v>0</v>
      </c>
      <c r="H219" s="7">
        <f t="shared" si="6"/>
        <v>0</v>
      </c>
      <c r="I219" s="7">
        <f t="shared" si="7"/>
        <v>0</v>
      </c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spans="1:28" ht="16" thickBot="1" x14ac:dyDescent="0.4">
      <c r="A220" s="5" t="s">
        <v>103</v>
      </c>
      <c r="B220" s="7" t="s">
        <v>39</v>
      </c>
      <c r="C220" s="7" t="s">
        <v>61</v>
      </c>
      <c r="D220" s="11" t="s">
        <v>98</v>
      </c>
      <c r="E220" t="s">
        <v>20</v>
      </c>
      <c r="F220" s="13">
        <f>+'[1]Depresión momposina'!$D$35</f>
        <v>0</v>
      </c>
      <c r="G220" s="12">
        <v>0</v>
      </c>
      <c r="H220" s="7">
        <f t="shared" si="6"/>
        <v>0</v>
      </c>
      <c r="I220" s="7">
        <f t="shared" si="7"/>
        <v>0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spans="1:28" ht="16" thickBot="1" x14ac:dyDescent="0.4">
      <c r="A221" s="5" t="s">
        <v>103</v>
      </c>
      <c r="B221" s="7" t="s">
        <v>39</v>
      </c>
      <c r="C221" s="7" t="s">
        <v>61</v>
      </c>
      <c r="D221" s="11" t="s">
        <v>63</v>
      </c>
      <c r="E221" t="s">
        <v>21</v>
      </c>
      <c r="F221" s="13">
        <f>+'[1]Depresión momposina'!$D$37</f>
        <v>35</v>
      </c>
      <c r="G221" s="12">
        <v>35</v>
      </c>
      <c r="H221" s="7">
        <f t="shared" si="6"/>
        <v>245</v>
      </c>
      <c r="I221" s="7">
        <f t="shared" si="7"/>
        <v>0.71050000000000002</v>
      </c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spans="1:28" ht="15" thickBot="1" x14ac:dyDescent="0.4">
      <c r="A222" s="5" t="s">
        <v>103</v>
      </c>
      <c r="B222" s="7" t="s">
        <v>39</v>
      </c>
      <c r="C222" s="7" t="s">
        <v>64</v>
      </c>
      <c r="D222" s="11" t="s">
        <v>65</v>
      </c>
      <c r="E222" t="s">
        <v>20</v>
      </c>
      <c r="F222" s="12">
        <v>0</v>
      </c>
      <c r="G222" s="12">
        <v>0</v>
      </c>
      <c r="H222" s="7">
        <f t="shared" si="6"/>
        <v>0</v>
      </c>
      <c r="I222" s="7">
        <f t="shared" si="7"/>
        <v>0</v>
      </c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spans="1:28" ht="15" thickBot="1" x14ac:dyDescent="0.4">
      <c r="A223" s="5" t="s">
        <v>103</v>
      </c>
      <c r="B223" s="7" t="s">
        <v>39</v>
      </c>
      <c r="C223" s="7" t="s">
        <v>64</v>
      </c>
      <c r="D223" s="11" t="s">
        <v>66</v>
      </c>
      <c r="E223" t="s">
        <v>20</v>
      </c>
      <c r="F223" s="12">
        <v>0</v>
      </c>
      <c r="G223" s="12">
        <v>0</v>
      </c>
      <c r="H223" s="7">
        <f t="shared" si="6"/>
        <v>0</v>
      </c>
      <c r="I223" s="7">
        <f t="shared" si="7"/>
        <v>0</v>
      </c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spans="1:28" ht="15" thickBot="1" x14ac:dyDescent="0.4">
      <c r="A224" s="5" t="s">
        <v>103</v>
      </c>
      <c r="B224" s="7" t="s">
        <v>39</v>
      </c>
      <c r="C224" s="7" t="s">
        <v>64</v>
      </c>
      <c r="D224" s="11" t="s">
        <v>67</v>
      </c>
      <c r="E224" t="s">
        <v>22</v>
      </c>
      <c r="F224" s="12">
        <v>45</v>
      </c>
      <c r="G224" s="12">
        <v>45</v>
      </c>
      <c r="H224" s="7">
        <f t="shared" si="6"/>
        <v>315</v>
      </c>
      <c r="I224" s="7">
        <f t="shared" si="7"/>
        <v>0.91349999999999998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spans="1:28" ht="15" thickBot="1" x14ac:dyDescent="0.4">
      <c r="A225" s="5" t="s">
        <v>103</v>
      </c>
      <c r="B225" s="7" t="s">
        <v>68</v>
      </c>
      <c r="C225" s="7" t="s">
        <v>69</v>
      </c>
      <c r="D225" s="11" t="s">
        <v>70</v>
      </c>
      <c r="E225" t="s">
        <v>116</v>
      </c>
      <c r="F225" s="12">
        <v>18</v>
      </c>
      <c r="G225" s="12">
        <v>20.224719101123597</v>
      </c>
      <c r="H225" s="7">
        <f t="shared" si="6"/>
        <v>141.57303370786519</v>
      </c>
      <c r="I225" s="7">
        <f t="shared" si="7"/>
        <v>0.41056179775280904</v>
      </c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spans="1:28" ht="15" thickBot="1" x14ac:dyDescent="0.4">
      <c r="A226" s="5" t="s">
        <v>103</v>
      </c>
      <c r="B226" s="7" t="s">
        <v>68</v>
      </c>
      <c r="C226" s="7" t="s">
        <v>69</v>
      </c>
      <c r="D226" s="11" t="s">
        <v>71</v>
      </c>
      <c r="E226" t="s">
        <v>117</v>
      </c>
      <c r="F226" s="12">
        <v>5</v>
      </c>
      <c r="G226" s="12">
        <v>6.4102564102564106</v>
      </c>
      <c r="H226" s="7">
        <f t="shared" si="6"/>
        <v>44.871794871794876</v>
      </c>
      <c r="I226" s="7">
        <f t="shared" si="7"/>
        <v>0.13012820512820514</v>
      </c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spans="1:28" ht="15" thickBot="1" x14ac:dyDescent="0.4">
      <c r="A227" s="5" t="s">
        <v>103</v>
      </c>
      <c r="B227" s="7" t="s">
        <v>68</v>
      </c>
      <c r="C227" s="7" t="s">
        <v>69</v>
      </c>
      <c r="D227" s="11" t="s">
        <v>72</v>
      </c>
      <c r="E227" t="s">
        <v>118</v>
      </c>
      <c r="F227" s="12">
        <v>8</v>
      </c>
      <c r="G227" s="12">
        <v>9.8765432098765427</v>
      </c>
      <c r="H227" s="7">
        <f t="shared" si="6"/>
        <v>69.135802469135797</v>
      </c>
      <c r="I227" s="7">
        <f t="shared" si="7"/>
        <v>0.2004938271604938</v>
      </c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spans="1:28" ht="15" thickBot="1" x14ac:dyDescent="0.4">
      <c r="A228" s="5" t="s">
        <v>103</v>
      </c>
      <c r="B228" s="7" t="s">
        <v>68</v>
      </c>
      <c r="C228" s="7" t="s">
        <v>69</v>
      </c>
      <c r="D228" s="11" t="s">
        <v>73</v>
      </c>
      <c r="E228" t="s">
        <v>119</v>
      </c>
      <c r="F228" s="12">
        <v>0</v>
      </c>
      <c r="G228" s="12">
        <v>0</v>
      </c>
      <c r="H228" s="7">
        <f t="shared" si="6"/>
        <v>0</v>
      </c>
      <c r="I228" s="7">
        <f t="shared" si="7"/>
        <v>0</v>
      </c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spans="1:28" ht="15" thickBot="1" x14ac:dyDescent="0.4">
      <c r="A229" s="5" t="s">
        <v>103</v>
      </c>
      <c r="B229" s="7" t="s">
        <v>68</v>
      </c>
      <c r="C229" s="7" t="s">
        <v>40</v>
      </c>
      <c r="D229" s="11" t="s">
        <v>74</v>
      </c>
      <c r="E229" t="s">
        <v>120</v>
      </c>
      <c r="F229" s="12">
        <v>4</v>
      </c>
      <c r="G229" s="12">
        <v>6</v>
      </c>
      <c r="H229" s="7">
        <f t="shared" si="6"/>
        <v>42</v>
      </c>
      <c r="I229" s="7">
        <f t="shared" si="7"/>
        <v>0.12179999999999999</v>
      </c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spans="1:28" ht="15" thickBot="1" x14ac:dyDescent="0.4">
      <c r="A230" s="5" t="s">
        <v>103</v>
      </c>
      <c r="B230" s="7" t="s">
        <v>68</v>
      </c>
      <c r="C230" s="7" t="s">
        <v>40</v>
      </c>
      <c r="D230" s="11" t="s">
        <v>75</v>
      </c>
      <c r="E230" s="11" t="s">
        <v>121</v>
      </c>
      <c r="F230" s="12">
        <v>4</v>
      </c>
      <c r="G230" s="12">
        <v>6</v>
      </c>
      <c r="H230" s="7">
        <f t="shared" si="6"/>
        <v>42</v>
      </c>
      <c r="I230" s="7">
        <f t="shared" si="7"/>
        <v>0.12179999999999999</v>
      </c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spans="1:28" ht="15" thickBot="1" x14ac:dyDescent="0.4">
      <c r="A231" s="5" t="s">
        <v>103</v>
      </c>
      <c r="B231" s="7" t="s">
        <v>68</v>
      </c>
      <c r="C231" s="7" t="s">
        <v>40</v>
      </c>
      <c r="D231" s="11" t="s">
        <v>76</v>
      </c>
      <c r="E231" s="11" t="s">
        <v>122</v>
      </c>
      <c r="F231" s="12">
        <v>4</v>
      </c>
      <c r="G231" s="12">
        <v>5</v>
      </c>
      <c r="H231" s="7">
        <f t="shared" si="6"/>
        <v>35</v>
      </c>
      <c r="I231" s="7">
        <f t="shared" si="7"/>
        <v>0.10150000000000001</v>
      </c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spans="1:28" ht="15" thickBot="1" x14ac:dyDescent="0.4">
      <c r="A232" s="5" t="s">
        <v>103</v>
      </c>
      <c r="B232" s="7" t="s">
        <v>68</v>
      </c>
      <c r="C232" s="7" t="s">
        <v>41</v>
      </c>
      <c r="D232" s="11" t="s">
        <v>77</v>
      </c>
      <c r="E232" t="s">
        <v>23</v>
      </c>
      <c r="F232" s="12">
        <v>60</v>
      </c>
      <c r="G232" s="12">
        <v>71</v>
      </c>
      <c r="H232" s="7">
        <f t="shared" si="6"/>
        <v>497</v>
      </c>
      <c r="I232" s="7">
        <f t="shared" si="7"/>
        <v>1.4413</v>
      </c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spans="1:28" ht="15" thickBot="1" x14ac:dyDescent="0.4">
      <c r="A233" s="5" t="s">
        <v>103</v>
      </c>
      <c r="B233" s="7" t="s">
        <v>68</v>
      </c>
      <c r="C233" s="7" t="s">
        <v>41</v>
      </c>
      <c r="D233" s="11" t="s">
        <v>78</v>
      </c>
      <c r="E233" t="s">
        <v>24</v>
      </c>
      <c r="F233" s="12">
        <v>0</v>
      </c>
      <c r="G233" s="12">
        <v>0</v>
      </c>
      <c r="H233" s="7">
        <f t="shared" si="6"/>
        <v>0</v>
      </c>
      <c r="I233" s="7">
        <f t="shared" si="7"/>
        <v>0</v>
      </c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spans="1:28" ht="15" thickBot="1" x14ac:dyDescent="0.4">
      <c r="A234" s="5" t="s">
        <v>103</v>
      </c>
      <c r="B234" s="7" t="s">
        <v>68</v>
      </c>
      <c r="C234" s="7" t="s">
        <v>42</v>
      </c>
      <c r="D234" s="6" t="s">
        <v>71</v>
      </c>
      <c r="E234" t="s">
        <v>123</v>
      </c>
      <c r="F234" s="12">
        <v>3</v>
      </c>
      <c r="G234" s="12">
        <v>3</v>
      </c>
      <c r="H234" s="7">
        <f t="shared" si="6"/>
        <v>21</v>
      </c>
      <c r="I234" s="7">
        <f t="shared" si="7"/>
        <v>6.0899999999999996E-2</v>
      </c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spans="1:28" ht="15" thickBot="1" x14ac:dyDescent="0.4">
      <c r="A235" s="5" t="s">
        <v>103</v>
      </c>
      <c r="B235" s="7" t="s">
        <v>68</v>
      </c>
      <c r="C235" s="7" t="s">
        <v>42</v>
      </c>
      <c r="D235" s="6" t="s">
        <v>73</v>
      </c>
      <c r="E235" t="s">
        <v>124</v>
      </c>
      <c r="F235" s="12">
        <v>0</v>
      </c>
      <c r="G235" s="12">
        <v>0</v>
      </c>
      <c r="H235" s="7">
        <f t="shared" si="6"/>
        <v>0</v>
      </c>
      <c r="I235" s="7">
        <f t="shared" si="7"/>
        <v>0</v>
      </c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spans="1:28" ht="15" thickBot="1" x14ac:dyDescent="0.4">
      <c r="A236" s="5" t="s">
        <v>103</v>
      </c>
      <c r="B236" s="7" t="s">
        <v>68</v>
      </c>
      <c r="C236" s="7" t="s">
        <v>42</v>
      </c>
      <c r="D236" s="6" t="s">
        <v>74</v>
      </c>
      <c r="E236" t="s">
        <v>125</v>
      </c>
      <c r="F236" s="12">
        <v>3</v>
      </c>
      <c r="G236" s="12">
        <v>3</v>
      </c>
      <c r="H236" s="7">
        <f t="shared" si="6"/>
        <v>21</v>
      </c>
      <c r="I236" s="7">
        <f t="shared" si="7"/>
        <v>6.0899999999999996E-2</v>
      </c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spans="1:28" ht="15" thickBot="1" x14ac:dyDescent="0.4">
      <c r="A237" s="5" t="s">
        <v>103</v>
      </c>
      <c r="B237" s="7" t="s">
        <v>68</v>
      </c>
      <c r="C237" s="7" t="s">
        <v>42</v>
      </c>
      <c r="D237" s="6" t="s">
        <v>76</v>
      </c>
      <c r="E237" t="s">
        <v>126</v>
      </c>
      <c r="F237" s="12">
        <v>0</v>
      </c>
      <c r="G237" s="12">
        <v>0</v>
      </c>
      <c r="H237" s="7">
        <f t="shared" si="6"/>
        <v>0</v>
      </c>
      <c r="I237" s="7">
        <f t="shared" si="7"/>
        <v>0</v>
      </c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spans="1:28" ht="15" thickBot="1" x14ac:dyDescent="0.4">
      <c r="A238" s="5" t="s">
        <v>103</v>
      </c>
      <c r="B238" s="7" t="s">
        <v>68</v>
      </c>
      <c r="C238" s="7" t="s">
        <v>79</v>
      </c>
      <c r="D238" s="11" t="s">
        <v>79</v>
      </c>
      <c r="E238" t="s">
        <v>25</v>
      </c>
      <c r="F238" s="12">
        <v>25</v>
      </c>
      <c r="G238" s="12">
        <v>28</v>
      </c>
      <c r="H238" s="7">
        <f t="shared" si="6"/>
        <v>196</v>
      </c>
      <c r="I238" s="7">
        <f t="shared" si="7"/>
        <v>0.56840000000000002</v>
      </c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spans="1:28" ht="15" thickBot="1" x14ac:dyDescent="0.4">
      <c r="A239" s="5" t="s">
        <v>103</v>
      </c>
      <c r="B239" s="7" t="s">
        <v>80</v>
      </c>
      <c r="C239" s="7" t="s">
        <v>43</v>
      </c>
      <c r="D239" s="11" t="s">
        <v>43</v>
      </c>
      <c r="E239" t="s">
        <v>26</v>
      </c>
      <c r="F239" s="12">
        <v>60</v>
      </c>
      <c r="G239" s="12">
        <v>60</v>
      </c>
      <c r="H239" s="7">
        <f t="shared" si="6"/>
        <v>420</v>
      </c>
      <c r="I239" s="7">
        <f t="shared" si="7"/>
        <v>1.218</v>
      </c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spans="1:28" ht="15" thickBot="1" x14ac:dyDescent="0.4">
      <c r="A240" s="5" t="s">
        <v>103</v>
      </c>
      <c r="B240" s="7" t="s">
        <v>80</v>
      </c>
      <c r="C240" s="7" t="s">
        <v>43</v>
      </c>
      <c r="D240" s="11" t="s">
        <v>81</v>
      </c>
      <c r="E240" t="s">
        <v>27</v>
      </c>
      <c r="F240" s="12">
        <v>0</v>
      </c>
      <c r="G240" s="12"/>
      <c r="H240" s="7">
        <f t="shared" si="6"/>
        <v>0</v>
      </c>
      <c r="I240" s="7">
        <f t="shared" si="7"/>
        <v>0</v>
      </c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spans="1:28" ht="15" thickBot="1" x14ac:dyDescent="0.4">
      <c r="A241" s="5" t="s">
        <v>103</v>
      </c>
      <c r="B241" s="7" t="s">
        <v>80</v>
      </c>
      <c r="C241" s="7" t="s">
        <v>44</v>
      </c>
      <c r="D241" s="11" t="s">
        <v>82</v>
      </c>
      <c r="E241" t="s">
        <v>127</v>
      </c>
      <c r="F241" s="12">
        <v>25</v>
      </c>
      <c r="G241" s="12">
        <v>31</v>
      </c>
      <c r="H241" s="7">
        <f t="shared" si="6"/>
        <v>217</v>
      </c>
      <c r="I241" s="7">
        <f t="shared" si="7"/>
        <v>0.62929999999999997</v>
      </c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spans="1:28" ht="15" thickBot="1" x14ac:dyDescent="0.4">
      <c r="A242" s="5" t="s">
        <v>103</v>
      </c>
      <c r="B242" s="7" t="s">
        <v>80</v>
      </c>
      <c r="C242" s="7" t="s">
        <v>44</v>
      </c>
      <c r="D242" s="11" t="s">
        <v>83</v>
      </c>
      <c r="E242" t="s">
        <v>28</v>
      </c>
      <c r="F242" s="7">
        <v>10</v>
      </c>
      <c r="G242" s="7">
        <v>12</v>
      </c>
      <c r="H242" s="7">
        <f t="shared" si="6"/>
        <v>84</v>
      </c>
      <c r="I242" s="7">
        <f t="shared" si="7"/>
        <v>0.24359999999999998</v>
      </c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spans="1:28" ht="15" thickBot="1" x14ac:dyDescent="0.4">
      <c r="A243" s="5" t="s">
        <v>103</v>
      </c>
      <c r="B243" s="7" t="s">
        <v>45</v>
      </c>
      <c r="C243" s="7" t="s">
        <v>84</v>
      </c>
      <c r="D243" t="s">
        <v>84</v>
      </c>
      <c r="E243" t="s">
        <v>30</v>
      </c>
      <c r="F243" s="7">
        <v>15</v>
      </c>
      <c r="G243" s="7">
        <v>15</v>
      </c>
      <c r="H243" s="7">
        <f t="shared" si="6"/>
        <v>105</v>
      </c>
      <c r="I243" s="7">
        <f t="shared" si="7"/>
        <v>0.30449999999999999</v>
      </c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spans="1:28" ht="15" thickBot="1" x14ac:dyDescent="0.4">
      <c r="A244" s="5" t="s">
        <v>103</v>
      </c>
      <c r="B244" s="7" t="s">
        <v>45</v>
      </c>
      <c r="C244" s="7" t="s">
        <v>85</v>
      </c>
      <c r="D244" t="s">
        <v>85</v>
      </c>
      <c r="E244" t="s">
        <v>31</v>
      </c>
      <c r="F244" s="7">
        <v>5</v>
      </c>
      <c r="G244" s="7">
        <v>5</v>
      </c>
      <c r="H244" s="7">
        <f t="shared" si="6"/>
        <v>35</v>
      </c>
      <c r="I244" s="7">
        <f t="shared" si="7"/>
        <v>0.10150000000000001</v>
      </c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spans="1:28" ht="15" thickBot="1" x14ac:dyDescent="0.4">
      <c r="A245" s="5" t="s">
        <v>103</v>
      </c>
      <c r="B245" s="7" t="s">
        <v>86</v>
      </c>
      <c r="C245" s="7" t="s">
        <v>87</v>
      </c>
      <c r="D245" s="11" t="s">
        <v>87</v>
      </c>
      <c r="E245" t="s">
        <v>29</v>
      </c>
      <c r="F245" s="7">
        <v>50</v>
      </c>
      <c r="G245" s="7">
        <v>50</v>
      </c>
      <c r="H245" s="7">
        <f t="shared" si="6"/>
        <v>350</v>
      </c>
      <c r="I245" s="7">
        <f t="shared" si="7"/>
        <v>1.0149999999999999</v>
      </c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spans="1:28" ht="15" thickBot="1" x14ac:dyDescent="0.4">
      <c r="A246" s="5" t="s">
        <v>103</v>
      </c>
      <c r="B246" s="7" t="s">
        <v>86</v>
      </c>
      <c r="C246" s="7" t="s">
        <v>46</v>
      </c>
      <c r="D246" s="11" t="s">
        <v>88</v>
      </c>
      <c r="E246" s="11" t="s">
        <v>88</v>
      </c>
      <c r="F246" s="7">
        <v>5</v>
      </c>
      <c r="G246" s="7">
        <v>5</v>
      </c>
      <c r="H246" s="7">
        <f t="shared" si="6"/>
        <v>35</v>
      </c>
      <c r="I246" s="7">
        <f t="shared" si="7"/>
        <v>0.10150000000000001</v>
      </c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spans="1:28" ht="15" thickBot="1" x14ac:dyDescent="0.4">
      <c r="A247" s="5" t="s">
        <v>103</v>
      </c>
      <c r="B247" s="7" t="s">
        <v>86</v>
      </c>
      <c r="C247" s="7" t="s">
        <v>46</v>
      </c>
      <c r="D247" s="11" t="s">
        <v>89</v>
      </c>
      <c r="E247" s="11" t="s">
        <v>89</v>
      </c>
      <c r="F247" s="7">
        <v>0</v>
      </c>
      <c r="G247" s="7">
        <v>0</v>
      </c>
      <c r="H247" s="7">
        <f t="shared" si="6"/>
        <v>0</v>
      </c>
      <c r="I247" s="7">
        <f t="shared" si="7"/>
        <v>0</v>
      </c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spans="1:28" ht="15" thickBot="1" x14ac:dyDescent="0.4">
      <c r="A248" s="5" t="s">
        <v>103</v>
      </c>
      <c r="B248" s="7" t="s">
        <v>86</v>
      </c>
      <c r="C248" s="7" t="s">
        <v>46</v>
      </c>
      <c r="D248" s="11" t="s">
        <v>90</v>
      </c>
      <c r="E248" s="11" t="s">
        <v>90</v>
      </c>
      <c r="F248" s="7">
        <v>5</v>
      </c>
      <c r="G248" s="7">
        <v>5</v>
      </c>
      <c r="H248" s="7">
        <f t="shared" si="6"/>
        <v>35</v>
      </c>
      <c r="I248" s="7">
        <f t="shared" si="7"/>
        <v>0.10150000000000001</v>
      </c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spans="1:28" ht="15" thickBot="1" x14ac:dyDescent="0.4">
      <c r="A249" s="5" t="s">
        <v>103</v>
      </c>
      <c r="B249" s="7" t="s">
        <v>86</v>
      </c>
      <c r="C249" s="7" t="s">
        <v>46</v>
      </c>
      <c r="D249" s="11" t="s">
        <v>91</v>
      </c>
      <c r="E249" s="11" t="s">
        <v>91</v>
      </c>
      <c r="F249" s="7">
        <v>5</v>
      </c>
      <c r="G249" s="7">
        <v>5</v>
      </c>
      <c r="H249" s="7">
        <f t="shared" si="6"/>
        <v>35</v>
      </c>
      <c r="I249" s="7">
        <f t="shared" si="7"/>
        <v>0.10150000000000001</v>
      </c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spans="1:28" ht="15" thickBot="1" x14ac:dyDescent="0.4">
      <c r="A250" s="5" t="s">
        <v>103</v>
      </c>
      <c r="B250" s="7" t="s">
        <v>86</v>
      </c>
      <c r="C250" s="7" t="s">
        <v>92</v>
      </c>
      <c r="D250" t="s">
        <v>93</v>
      </c>
      <c r="E250" t="s">
        <v>93</v>
      </c>
      <c r="F250" s="7">
        <v>8</v>
      </c>
      <c r="G250" s="7">
        <v>9</v>
      </c>
      <c r="H250" s="7">
        <f t="shared" si="6"/>
        <v>63</v>
      </c>
      <c r="I250" s="7">
        <f t="shared" si="7"/>
        <v>0.1827</v>
      </c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</row>
    <row r="251" spans="1:28" ht="15" thickBot="1" x14ac:dyDescent="0.4">
      <c r="A251" s="5" t="s">
        <v>103</v>
      </c>
      <c r="B251" s="7" t="s">
        <v>86</v>
      </c>
      <c r="C251" s="7" t="s">
        <v>92</v>
      </c>
      <c r="D251" t="s">
        <v>94</v>
      </c>
      <c r="E251" t="s">
        <v>94</v>
      </c>
      <c r="F251" s="7">
        <v>3</v>
      </c>
      <c r="G251" s="7">
        <v>3</v>
      </c>
      <c r="H251" s="7">
        <f t="shared" si="6"/>
        <v>21</v>
      </c>
      <c r="I251" s="7">
        <f t="shared" si="7"/>
        <v>6.0899999999999996E-2</v>
      </c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</row>
    <row r="252" spans="1:28" ht="15" thickBot="1" x14ac:dyDescent="0.4">
      <c r="A252" s="5" t="s">
        <v>104</v>
      </c>
      <c r="B252" s="7" t="s">
        <v>52</v>
      </c>
      <c r="C252" s="7" t="s">
        <v>35</v>
      </c>
      <c r="D252" s="8" t="s">
        <v>47</v>
      </c>
      <c r="E252" t="s">
        <v>3</v>
      </c>
      <c r="F252" s="7">
        <v>40</v>
      </c>
      <c r="G252" s="7">
        <v>40</v>
      </c>
      <c r="H252" s="7">
        <f t="shared" si="6"/>
        <v>280</v>
      </c>
      <c r="I252" s="7">
        <f t="shared" si="7"/>
        <v>0.81200000000000006</v>
      </c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spans="1:28" ht="15" thickBot="1" x14ac:dyDescent="0.4">
      <c r="A253" s="5" t="s">
        <v>104</v>
      </c>
      <c r="B253" s="7" t="s">
        <v>52</v>
      </c>
      <c r="C253" s="7" t="s">
        <v>35</v>
      </c>
      <c r="D253" s="8" t="s">
        <v>48</v>
      </c>
      <c r="E253" t="s">
        <v>7</v>
      </c>
      <c r="F253" s="7">
        <v>15</v>
      </c>
      <c r="G253" s="7">
        <v>17</v>
      </c>
      <c r="H253" s="7">
        <f t="shared" si="6"/>
        <v>119</v>
      </c>
      <c r="I253" s="7">
        <f t="shared" si="7"/>
        <v>0.34509999999999996</v>
      </c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spans="1:28" ht="15" thickBot="1" x14ac:dyDescent="0.4">
      <c r="A254" s="5" t="s">
        <v>104</v>
      </c>
      <c r="B254" s="7" t="s">
        <v>52</v>
      </c>
      <c r="C254" s="7" t="s">
        <v>35</v>
      </c>
      <c r="D254" s="8" t="s">
        <v>49</v>
      </c>
      <c r="E254" t="s">
        <v>4</v>
      </c>
      <c r="F254" s="7">
        <v>40</v>
      </c>
      <c r="G254" s="7">
        <v>40</v>
      </c>
      <c r="H254" s="7">
        <f t="shared" si="6"/>
        <v>280</v>
      </c>
      <c r="I254" s="7">
        <f t="shared" si="7"/>
        <v>0.81200000000000006</v>
      </c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spans="1:28" ht="15" thickBot="1" x14ac:dyDescent="0.4">
      <c r="A255" s="5" t="s">
        <v>104</v>
      </c>
      <c r="B255" s="7" t="s">
        <v>52</v>
      </c>
      <c r="C255" s="7" t="s">
        <v>35</v>
      </c>
      <c r="D255" s="8" t="s">
        <v>50</v>
      </c>
      <c r="E255" t="s">
        <v>6</v>
      </c>
      <c r="F255" s="7">
        <v>20</v>
      </c>
      <c r="G255" s="7">
        <v>20</v>
      </c>
      <c r="H255" s="7">
        <f t="shared" si="6"/>
        <v>140</v>
      </c>
      <c r="I255" s="7">
        <f t="shared" si="7"/>
        <v>0.40600000000000003</v>
      </c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spans="1:28" ht="15" thickBot="1" x14ac:dyDescent="0.4">
      <c r="A256" s="5" t="s">
        <v>104</v>
      </c>
      <c r="B256" s="7" t="s">
        <v>52</v>
      </c>
      <c r="C256" s="7" t="s">
        <v>35</v>
      </c>
      <c r="D256" s="8" t="s">
        <v>51</v>
      </c>
      <c r="E256" t="s">
        <v>5</v>
      </c>
      <c r="F256" s="7">
        <v>0</v>
      </c>
      <c r="G256" s="7">
        <v>0</v>
      </c>
      <c r="H256" s="7">
        <f t="shared" si="6"/>
        <v>0</v>
      </c>
      <c r="I256" s="7">
        <f t="shared" si="7"/>
        <v>0</v>
      </c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spans="1:28" ht="15" thickBot="1" x14ac:dyDescent="0.4">
      <c r="A257" s="5" t="s">
        <v>104</v>
      </c>
      <c r="B257" s="7" t="s">
        <v>52</v>
      </c>
      <c r="C257" s="7" t="s">
        <v>37</v>
      </c>
      <c r="D257" s="9" t="s">
        <v>114</v>
      </c>
      <c r="E257" t="s">
        <v>8</v>
      </c>
      <c r="F257" s="7">
        <v>80</v>
      </c>
      <c r="G257" s="7">
        <v>93</v>
      </c>
      <c r="H257" s="7">
        <f t="shared" si="6"/>
        <v>651</v>
      </c>
      <c r="I257" s="7">
        <f t="shared" si="7"/>
        <v>1.8878999999999999</v>
      </c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spans="1:28" ht="15" thickBot="1" x14ac:dyDescent="0.4">
      <c r="A258" s="5" t="s">
        <v>104</v>
      </c>
      <c r="B258" s="7" t="s">
        <v>52</v>
      </c>
      <c r="C258" s="7" t="s">
        <v>37</v>
      </c>
      <c r="D258" s="8" t="s">
        <v>115</v>
      </c>
      <c r="E258" t="s">
        <v>9</v>
      </c>
      <c r="F258" s="7">
        <v>200</v>
      </c>
      <c r="G258" s="7">
        <v>235</v>
      </c>
      <c r="H258" s="7">
        <f t="shared" si="6"/>
        <v>1645</v>
      </c>
      <c r="I258" s="7">
        <f t="shared" si="7"/>
        <v>4.7705000000000002</v>
      </c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spans="1:28" ht="15" thickBot="1" x14ac:dyDescent="0.4">
      <c r="A259" s="5" t="s">
        <v>104</v>
      </c>
      <c r="B259" s="7" t="s">
        <v>52</v>
      </c>
      <c r="C259" s="7" t="s">
        <v>37</v>
      </c>
      <c r="D259" s="10" t="s">
        <v>53</v>
      </c>
      <c r="E259" t="s">
        <v>10</v>
      </c>
      <c r="F259" s="7">
        <v>50</v>
      </c>
      <c r="G259" s="7">
        <v>79</v>
      </c>
      <c r="H259" s="7">
        <f t="shared" ref="H259:H322" si="8">G259*7</f>
        <v>553</v>
      </c>
      <c r="I259" s="7">
        <f t="shared" ref="I259:I322" si="9">H259*2.9/(1000)</f>
        <v>1.6037000000000001</v>
      </c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spans="1:28" ht="15" thickBot="1" x14ac:dyDescent="0.4">
      <c r="A260" s="5" t="s">
        <v>104</v>
      </c>
      <c r="B260" s="7" t="s">
        <v>52</v>
      </c>
      <c r="C260" s="7" t="s">
        <v>37</v>
      </c>
      <c r="D260" s="10" t="s">
        <v>96</v>
      </c>
      <c r="E260" t="s">
        <v>113</v>
      </c>
      <c r="F260" s="7">
        <v>0</v>
      </c>
      <c r="G260" s="7">
        <v>0</v>
      </c>
      <c r="H260" s="7">
        <f t="shared" si="8"/>
        <v>0</v>
      </c>
      <c r="I260" s="7">
        <f t="shared" si="9"/>
        <v>0</v>
      </c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spans="1:28" ht="15" thickBot="1" x14ac:dyDescent="0.4">
      <c r="A261" s="5" t="s">
        <v>104</v>
      </c>
      <c r="B261" s="7" t="s">
        <v>52</v>
      </c>
      <c r="C261" s="7" t="s">
        <v>37</v>
      </c>
      <c r="D261" s="10" t="s">
        <v>50</v>
      </c>
      <c r="E261" t="s">
        <v>11</v>
      </c>
      <c r="F261" s="7">
        <v>10</v>
      </c>
      <c r="G261" s="7">
        <v>10</v>
      </c>
      <c r="H261" s="7">
        <f t="shared" si="8"/>
        <v>70</v>
      </c>
      <c r="I261" s="7">
        <f t="shared" si="9"/>
        <v>0.20300000000000001</v>
      </c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spans="1:28" ht="15" thickBot="1" x14ac:dyDescent="0.4">
      <c r="A262" s="5" t="s">
        <v>104</v>
      </c>
      <c r="B262" s="7" t="s">
        <v>54</v>
      </c>
      <c r="C262" s="7" t="s">
        <v>36</v>
      </c>
      <c r="D262" s="8" t="s">
        <v>55</v>
      </c>
      <c r="E262" t="s">
        <v>12</v>
      </c>
      <c r="F262" s="7">
        <v>80</v>
      </c>
      <c r="G262" s="7">
        <v>94</v>
      </c>
      <c r="H262" s="7">
        <f t="shared" si="8"/>
        <v>658</v>
      </c>
      <c r="I262" s="7">
        <f t="shared" si="9"/>
        <v>1.9082000000000001</v>
      </c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spans="1:28" ht="15" thickBot="1" x14ac:dyDescent="0.4">
      <c r="A263" s="5" t="s">
        <v>104</v>
      </c>
      <c r="B263" s="7" t="s">
        <v>54</v>
      </c>
      <c r="C263" s="7" t="s">
        <v>36</v>
      </c>
      <c r="D263" s="8" t="s">
        <v>56</v>
      </c>
      <c r="E263" t="s">
        <v>13</v>
      </c>
      <c r="F263" s="7">
        <v>80</v>
      </c>
      <c r="G263" s="7">
        <v>103</v>
      </c>
      <c r="H263" s="7">
        <f t="shared" si="8"/>
        <v>721</v>
      </c>
      <c r="I263" s="7">
        <f t="shared" si="9"/>
        <v>2.0909</v>
      </c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spans="1:28" ht="15" thickBot="1" x14ac:dyDescent="0.4">
      <c r="A264" s="5" t="s">
        <v>104</v>
      </c>
      <c r="B264" s="7" t="s">
        <v>54</v>
      </c>
      <c r="C264" s="7" t="s">
        <v>36</v>
      </c>
      <c r="D264" s="8" t="s">
        <v>57</v>
      </c>
      <c r="E264" t="s">
        <v>14</v>
      </c>
      <c r="F264" s="7">
        <v>30</v>
      </c>
      <c r="G264" s="7">
        <v>38</v>
      </c>
      <c r="H264" s="7">
        <f t="shared" si="8"/>
        <v>266</v>
      </c>
      <c r="I264" s="7">
        <f t="shared" si="9"/>
        <v>0.77139999999999997</v>
      </c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spans="1:28" ht="15" thickBot="1" x14ac:dyDescent="0.4">
      <c r="A265" s="5" t="s">
        <v>104</v>
      </c>
      <c r="B265" s="7" t="s">
        <v>54</v>
      </c>
      <c r="C265" s="7" t="s">
        <v>38</v>
      </c>
      <c r="D265" s="8" t="s">
        <v>58</v>
      </c>
      <c r="E265" t="s">
        <v>15</v>
      </c>
      <c r="F265" s="7">
        <v>80</v>
      </c>
      <c r="G265" s="7">
        <v>123</v>
      </c>
      <c r="H265" s="7">
        <f t="shared" si="8"/>
        <v>861</v>
      </c>
      <c r="I265" s="7">
        <f t="shared" si="9"/>
        <v>2.4969000000000001</v>
      </c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spans="1:28" ht="15" thickBot="1" x14ac:dyDescent="0.4">
      <c r="A266" s="5" t="s">
        <v>104</v>
      </c>
      <c r="B266" s="7" t="s">
        <v>54</v>
      </c>
      <c r="C266" s="7" t="s">
        <v>38</v>
      </c>
      <c r="D266" s="8" t="s">
        <v>59</v>
      </c>
      <c r="E266" t="s">
        <v>16</v>
      </c>
      <c r="F266" s="7">
        <v>30</v>
      </c>
      <c r="G266" s="7">
        <v>44</v>
      </c>
      <c r="H266" s="7">
        <f t="shared" si="8"/>
        <v>308</v>
      </c>
      <c r="I266" s="7">
        <f t="shared" si="9"/>
        <v>0.89319999999999988</v>
      </c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spans="1:28" ht="15" thickBot="1" x14ac:dyDescent="0.4">
      <c r="A267" s="5" t="s">
        <v>104</v>
      </c>
      <c r="B267" s="7" t="s">
        <v>54</v>
      </c>
      <c r="C267" s="7" t="s">
        <v>38</v>
      </c>
      <c r="D267" s="8" t="s">
        <v>60</v>
      </c>
      <c r="E267" t="s">
        <v>17</v>
      </c>
      <c r="F267" s="7">
        <v>80</v>
      </c>
      <c r="G267" s="7">
        <v>123</v>
      </c>
      <c r="H267" s="7">
        <f t="shared" si="8"/>
        <v>861</v>
      </c>
      <c r="I267" s="7">
        <f t="shared" si="9"/>
        <v>2.4969000000000001</v>
      </c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spans="1:28" ht="15" thickBot="1" x14ac:dyDescent="0.4">
      <c r="A268" s="5" t="s">
        <v>104</v>
      </c>
      <c r="B268" s="7" t="s">
        <v>39</v>
      </c>
      <c r="C268" s="7" t="s">
        <v>61</v>
      </c>
      <c r="D268" s="11" t="s">
        <v>97</v>
      </c>
      <c r="E268" t="s">
        <v>18</v>
      </c>
      <c r="F268" s="7">
        <v>100</v>
      </c>
      <c r="G268" s="7">
        <v>100</v>
      </c>
      <c r="H268" s="7">
        <f t="shared" si="8"/>
        <v>700</v>
      </c>
      <c r="I268" s="7">
        <f t="shared" si="9"/>
        <v>2.0299999999999998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spans="1:28" ht="15" thickBot="1" x14ac:dyDescent="0.4">
      <c r="A269" s="5" t="s">
        <v>104</v>
      </c>
      <c r="B269" s="7" t="s">
        <v>39</v>
      </c>
      <c r="C269" s="7" t="s">
        <v>61</v>
      </c>
      <c r="D269" s="11" t="s">
        <v>62</v>
      </c>
      <c r="E269" t="s">
        <v>19</v>
      </c>
      <c r="F269" s="7">
        <v>0</v>
      </c>
      <c r="G269" s="7">
        <v>0</v>
      </c>
      <c r="H269" s="7">
        <f t="shared" si="8"/>
        <v>0</v>
      </c>
      <c r="I269" s="7">
        <f t="shared" si="9"/>
        <v>0</v>
      </c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spans="1:28" ht="15" thickBot="1" x14ac:dyDescent="0.4">
      <c r="A270" s="5" t="s">
        <v>104</v>
      </c>
      <c r="B270" s="7" t="s">
        <v>39</v>
      </c>
      <c r="C270" s="7" t="s">
        <v>61</v>
      </c>
      <c r="D270" s="11" t="s">
        <v>98</v>
      </c>
      <c r="E270" t="s">
        <v>20</v>
      </c>
      <c r="F270" s="7">
        <v>0</v>
      </c>
      <c r="G270" s="7">
        <v>0</v>
      </c>
      <c r="H270" s="7">
        <f t="shared" si="8"/>
        <v>0</v>
      </c>
      <c r="I270" s="7">
        <f t="shared" si="9"/>
        <v>0</v>
      </c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spans="1:28" ht="15" thickBot="1" x14ac:dyDescent="0.4">
      <c r="A271" s="5" t="s">
        <v>104</v>
      </c>
      <c r="B271" s="7" t="s">
        <v>39</v>
      </c>
      <c r="C271" s="7" t="s">
        <v>61</v>
      </c>
      <c r="D271" s="11" t="s">
        <v>63</v>
      </c>
      <c r="E271" t="s">
        <v>21</v>
      </c>
      <c r="F271" s="7">
        <v>35</v>
      </c>
      <c r="G271" s="7">
        <v>35</v>
      </c>
      <c r="H271" s="7">
        <f t="shared" si="8"/>
        <v>245</v>
      </c>
      <c r="I271" s="7">
        <f t="shared" si="9"/>
        <v>0.71050000000000002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spans="1:28" ht="15" thickBot="1" x14ac:dyDescent="0.4">
      <c r="A272" s="5" t="s">
        <v>104</v>
      </c>
      <c r="B272" s="7" t="s">
        <v>39</v>
      </c>
      <c r="C272" s="7" t="s">
        <v>64</v>
      </c>
      <c r="D272" s="11" t="s">
        <v>65</v>
      </c>
      <c r="E272" t="s">
        <v>20</v>
      </c>
      <c r="F272" s="7">
        <v>0</v>
      </c>
      <c r="G272" s="7">
        <v>0</v>
      </c>
      <c r="H272" s="7">
        <f t="shared" si="8"/>
        <v>0</v>
      </c>
      <c r="I272" s="7">
        <f t="shared" si="9"/>
        <v>0</v>
      </c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spans="1:28" ht="15" thickBot="1" x14ac:dyDescent="0.4">
      <c r="A273" s="5" t="s">
        <v>104</v>
      </c>
      <c r="B273" s="7" t="s">
        <v>39</v>
      </c>
      <c r="C273" s="7" t="s">
        <v>64</v>
      </c>
      <c r="D273" s="11" t="s">
        <v>66</v>
      </c>
      <c r="E273" t="s">
        <v>20</v>
      </c>
      <c r="F273" s="7">
        <v>0</v>
      </c>
      <c r="G273" s="7">
        <v>0</v>
      </c>
      <c r="H273" s="7">
        <f t="shared" si="8"/>
        <v>0</v>
      </c>
      <c r="I273" s="7">
        <f t="shared" si="9"/>
        <v>0</v>
      </c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spans="1:28" ht="15" thickBot="1" x14ac:dyDescent="0.4">
      <c r="A274" s="5" t="s">
        <v>104</v>
      </c>
      <c r="B274" s="7" t="s">
        <v>39</v>
      </c>
      <c r="C274" s="7" t="s">
        <v>64</v>
      </c>
      <c r="D274" s="11" t="s">
        <v>67</v>
      </c>
      <c r="E274" t="s">
        <v>22</v>
      </c>
      <c r="F274" s="7">
        <v>35</v>
      </c>
      <c r="G274" s="7">
        <v>35</v>
      </c>
      <c r="H274" s="7">
        <f t="shared" si="8"/>
        <v>245</v>
      </c>
      <c r="I274" s="7">
        <f t="shared" si="9"/>
        <v>0.71050000000000002</v>
      </c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spans="1:28" ht="15" thickBot="1" x14ac:dyDescent="0.4">
      <c r="A275" s="5" t="s">
        <v>104</v>
      </c>
      <c r="B275" s="7" t="s">
        <v>68</v>
      </c>
      <c r="C275" s="7" t="s">
        <v>69</v>
      </c>
      <c r="D275" s="11" t="s">
        <v>70</v>
      </c>
      <c r="E275" t="s">
        <v>116</v>
      </c>
      <c r="F275" s="7">
        <v>9</v>
      </c>
      <c r="G275" s="7">
        <v>10</v>
      </c>
      <c r="H275" s="7">
        <f t="shared" si="8"/>
        <v>70</v>
      </c>
      <c r="I275" s="7">
        <f t="shared" si="9"/>
        <v>0.20300000000000001</v>
      </c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spans="1:28" ht="15" thickBot="1" x14ac:dyDescent="0.4">
      <c r="A276" s="5" t="s">
        <v>104</v>
      </c>
      <c r="B276" s="7" t="s">
        <v>68</v>
      </c>
      <c r="C276" s="7" t="s">
        <v>69</v>
      </c>
      <c r="D276" s="11" t="s">
        <v>71</v>
      </c>
      <c r="E276" t="s">
        <v>117</v>
      </c>
      <c r="F276" s="7">
        <v>9</v>
      </c>
      <c r="G276" s="7">
        <v>12</v>
      </c>
      <c r="H276" s="7">
        <f t="shared" si="8"/>
        <v>84</v>
      </c>
      <c r="I276" s="7">
        <f t="shared" si="9"/>
        <v>0.24359999999999998</v>
      </c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spans="1:28" ht="15" thickBot="1" x14ac:dyDescent="0.4">
      <c r="A277" s="5" t="s">
        <v>104</v>
      </c>
      <c r="B277" s="7" t="s">
        <v>68</v>
      </c>
      <c r="C277" s="7" t="s">
        <v>69</v>
      </c>
      <c r="D277" s="11" t="s">
        <v>72</v>
      </c>
      <c r="E277" t="s">
        <v>118</v>
      </c>
      <c r="F277" s="7">
        <v>5</v>
      </c>
      <c r="G277" s="7">
        <v>6</v>
      </c>
      <c r="H277" s="7">
        <f t="shared" si="8"/>
        <v>42</v>
      </c>
      <c r="I277" s="7">
        <f t="shared" si="9"/>
        <v>0.12179999999999999</v>
      </c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spans="1:28" ht="15" thickBot="1" x14ac:dyDescent="0.4">
      <c r="A278" s="5" t="s">
        <v>104</v>
      </c>
      <c r="B278" s="7" t="s">
        <v>68</v>
      </c>
      <c r="C278" s="7" t="s">
        <v>69</v>
      </c>
      <c r="D278" s="11" t="s">
        <v>73</v>
      </c>
      <c r="E278" t="s">
        <v>119</v>
      </c>
      <c r="F278" s="7">
        <v>4</v>
      </c>
      <c r="G278" s="7">
        <v>5</v>
      </c>
      <c r="H278" s="7">
        <f t="shared" si="8"/>
        <v>35</v>
      </c>
      <c r="I278" s="7">
        <f t="shared" si="9"/>
        <v>0.10150000000000001</v>
      </c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spans="1:28" ht="15" thickBot="1" x14ac:dyDescent="0.4">
      <c r="A279" s="5" t="s">
        <v>104</v>
      </c>
      <c r="B279" s="7" t="s">
        <v>68</v>
      </c>
      <c r="C279" s="7" t="s">
        <v>40</v>
      </c>
      <c r="D279" s="11" t="s">
        <v>74</v>
      </c>
      <c r="E279" t="s">
        <v>120</v>
      </c>
      <c r="F279" s="7">
        <v>25</v>
      </c>
      <c r="G279" s="7">
        <v>38</v>
      </c>
      <c r="H279" s="7">
        <f t="shared" si="8"/>
        <v>266</v>
      </c>
      <c r="I279" s="7">
        <f t="shared" si="9"/>
        <v>0.77139999999999997</v>
      </c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spans="1:28" ht="15" thickBot="1" x14ac:dyDescent="0.4">
      <c r="A280" s="5" t="s">
        <v>104</v>
      </c>
      <c r="B280" s="7" t="s">
        <v>68</v>
      </c>
      <c r="C280" s="7" t="s">
        <v>40</v>
      </c>
      <c r="D280" s="11" t="s">
        <v>75</v>
      </c>
      <c r="E280" s="11" t="s">
        <v>121</v>
      </c>
      <c r="F280" s="7">
        <v>3</v>
      </c>
      <c r="G280" s="7">
        <v>4</v>
      </c>
      <c r="H280" s="7">
        <f t="shared" si="8"/>
        <v>28</v>
      </c>
      <c r="I280" s="7">
        <f t="shared" si="9"/>
        <v>8.1200000000000008E-2</v>
      </c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spans="1:28" ht="15" thickBot="1" x14ac:dyDescent="0.4">
      <c r="A281" s="5" t="s">
        <v>104</v>
      </c>
      <c r="B281" s="7" t="s">
        <v>68</v>
      </c>
      <c r="C281" s="7" t="s">
        <v>40</v>
      </c>
      <c r="D281" s="11" t="s">
        <v>76</v>
      </c>
      <c r="E281" s="11" t="s">
        <v>122</v>
      </c>
      <c r="F281" s="7">
        <v>3</v>
      </c>
      <c r="G281" s="7">
        <v>4</v>
      </c>
      <c r="H281" s="7">
        <f t="shared" si="8"/>
        <v>28</v>
      </c>
      <c r="I281" s="7">
        <f t="shared" si="9"/>
        <v>8.1200000000000008E-2</v>
      </c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spans="1:28" ht="15" thickBot="1" x14ac:dyDescent="0.4">
      <c r="A282" s="5" t="s">
        <v>104</v>
      </c>
      <c r="B282" s="7" t="s">
        <v>68</v>
      </c>
      <c r="C282" s="7" t="s">
        <v>41</v>
      </c>
      <c r="D282" s="11" t="s">
        <v>77</v>
      </c>
      <c r="E282" t="s">
        <v>23</v>
      </c>
      <c r="F282" s="7">
        <v>12</v>
      </c>
      <c r="G282" s="7">
        <v>14</v>
      </c>
      <c r="H282" s="7">
        <f t="shared" si="8"/>
        <v>98</v>
      </c>
      <c r="I282" s="7">
        <f t="shared" si="9"/>
        <v>0.28420000000000001</v>
      </c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spans="1:28" ht="15" thickBot="1" x14ac:dyDescent="0.4">
      <c r="A283" s="5" t="s">
        <v>104</v>
      </c>
      <c r="B283" s="7" t="s">
        <v>68</v>
      </c>
      <c r="C283" s="7" t="s">
        <v>41</v>
      </c>
      <c r="D283" s="11" t="s">
        <v>78</v>
      </c>
      <c r="E283" t="s">
        <v>24</v>
      </c>
      <c r="F283" s="7">
        <v>3</v>
      </c>
      <c r="G283" s="7">
        <v>3</v>
      </c>
      <c r="H283" s="7">
        <f t="shared" si="8"/>
        <v>21</v>
      </c>
      <c r="I283" s="7">
        <f t="shared" si="9"/>
        <v>6.0899999999999996E-2</v>
      </c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spans="1:28" ht="15" thickBot="1" x14ac:dyDescent="0.4">
      <c r="A284" s="5" t="s">
        <v>104</v>
      </c>
      <c r="B284" s="7" t="s">
        <v>68</v>
      </c>
      <c r="C284" s="7" t="s">
        <v>42</v>
      </c>
      <c r="D284" s="6" t="s">
        <v>71</v>
      </c>
      <c r="E284" t="s">
        <v>123</v>
      </c>
      <c r="F284" s="7">
        <v>4</v>
      </c>
      <c r="G284" s="7">
        <v>5</v>
      </c>
      <c r="H284" s="7">
        <f t="shared" si="8"/>
        <v>35</v>
      </c>
      <c r="I284" s="7">
        <f t="shared" si="9"/>
        <v>0.10150000000000001</v>
      </c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spans="1:28" ht="15" thickBot="1" x14ac:dyDescent="0.4">
      <c r="A285" s="5" t="s">
        <v>104</v>
      </c>
      <c r="B285" s="7" t="s">
        <v>68</v>
      </c>
      <c r="C285" s="7" t="s">
        <v>42</v>
      </c>
      <c r="D285" s="6" t="s">
        <v>73</v>
      </c>
      <c r="E285" t="s">
        <v>124</v>
      </c>
      <c r="F285" s="7">
        <v>2</v>
      </c>
      <c r="G285" s="7">
        <v>2</v>
      </c>
      <c r="H285" s="7">
        <f t="shared" si="8"/>
        <v>14</v>
      </c>
      <c r="I285" s="7">
        <f t="shared" si="9"/>
        <v>4.0600000000000004E-2</v>
      </c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spans="1:28" ht="15" thickBot="1" x14ac:dyDescent="0.4">
      <c r="A286" s="5" t="s">
        <v>104</v>
      </c>
      <c r="B286" s="7" t="s">
        <v>68</v>
      </c>
      <c r="C286" s="7" t="s">
        <v>42</v>
      </c>
      <c r="D286" s="6" t="s">
        <v>74</v>
      </c>
      <c r="E286" t="s">
        <v>125</v>
      </c>
      <c r="F286" s="7">
        <v>4</v>
      </c>
      <c r="G286" s="7">
        <v>5</v>
      </c>
      <c r="H286" s="7">
        <f t="shared" si="8"/>
        <v>35</v>
      </c>
      <c r="I286" s="7">
        <f t="shared" si="9"/>
        <v>0.10150000000000001</v>
      </c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spans="1:28" ht="15" thickBot="1" x14ac:dyDescent="0.4">
      <c r="A287" s="5" t="s">
        <v>104</v>
      </c>
      <c r="B287" s="7" t="s">
        <v>68</v>
      </c>
      <c r="C287" s="7" t="s">
        <v>42</v>
      </c>
      <c r="D287" s="6" t="s">
        <v>76</v>
      </c>
      <c r="E287" t="s">
        <v>126</v>
      </c>
      <c r="F287" s="7">
        <v>2</v>
      </c>
      <c r="G287" s="7">
        <v>2</v>
      </c>
      <c r="H287" s="7">
        <f t="shared" si="8"/>
        <v>14</v>
      </c>
      <c r="I287" s="7">
        <f t="shared" si="9"/>
        <v>4.0600000000000004E-2</v>
      </c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spans="1:28" ht="15" thickBot="1" x14ac:dyDescent="0.4">
      <c r="A288" s="5" t="s">
        <v>104</v>
      </c>
      <c r="B288" s="7" t="s">
        <v>68</v>
      </c>
      <c r="C288" s="7" t="s">
        <v>79</v>
      </c>
      <c r="D288" s="11" t="s">
        <v>79</v>
      </c>
      <c r="E288" t="s">
        <v>25</v>
      </c>
      <c r="F288" s="7">
        <v>25</v>
      </c>
      <c r="G288" s="7">
        <v>28</v>
      </c>
      <c r="H288" s="7">
        <f t="shared" si="8"/>
        <v>196</v>
      </c>
      <c r="I288" s="7">
        <f t="shared" si="9"/>
        <v>0.56840000000000002</v>
      </c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spans="1:28" ht="15" thickBot="1" x14ac:dyDescent="0.4">
      <c r="A289" s="5" t="s">
        <v>104</v>
      </c>
      <c r="B289" s="7" t="s">
        <v>80</v>
      </c>
      <c r="C289" s="7" t="s">
        <v>43</v>
      </c>
      <c r="D289" s="11" t="s">
        <v>43</v>
      </c>
      <c r="E289" t="s">
        <v>26</v>
      </c>
      <c r="F289" s="7">
        <v>60</v>
      </c>
      <c r="G289" s="7">
        <v>60</v>
      </c>
      <c r="H289" s="7">
        <f t="shared" si="8"/>
        <v>420</v>
      </c>
      <c r="I289" s="7">
        <f t="shared" si="9"/>
        <v>1.218</v>
      </c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spans="1:28" ht="15" thickBot="1" x14ac:dyDescent="0.4">
      <c r="A290" s="5" t="s">
        <v>104</v>
      </c>
      <c r="B290" s="7" t="s">
        <v>80</v>
      </c>
      <c r="C290" s="7" t="s">
        <v>43</v>
      </c>
      <c r="D290" s="11" t="s">
        <v>81</v>
      </c>
      <c r="E290" t="s">
        <v>27</v>
      </c>
      <c r="F290" s="7">
        <v>0</v>
      </c>
      <c r="G290" s="7">
        <v>0</v>
      </c>
      <c r="H290" s="7">
        <f t="shared" si="8"/>
        <v>0</v>
      </c>
      <c r="I290" s="7">
        <f t="shared" si="9"/>
        <v>0</v>
      </c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spans="1:28" ht="15" thickBot="1" x14ac:dyDescent="0.4">
      <c r="A291" s="5" t="s">
        <v>104</v>
      </c>
      <c r="B291" s="7" t="s">
        <v>80</v>
      </c>
      <c r="C291" s="7" t="s">
        <v>44</v>
      </c>
      <c r="D291" s="11" t="s">
        <v>82</v>
      </c>
      <c r="E291" t="s">
        <v>127</v>
      </c>
      <c r="F291" s="7">
        <v>25</v>
      </c>
      <c r="G291" s="7">
        <v>31</v>
      </c>
      <c r="H291" s="7">
        <f t="shared" si="8"/>
        <v>217</v>
      </c>
      <c r="I291" s="7">
        <f t="shared" si="9"/>
        <v>0.62929999999999997</v>
      </c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spans="1:28" ht="15" thickBot="1" x14ac:dyDescent="0.4">
      <c r="A292" s="5" t="s">
        <v>104</v>
      </c>
      <c r="B292" s="7" t="s">
        <v>80</v>
      </c>
      <c r="C292" s="7" t="s">
        <v>44</v>
      </c>
      <c r="D292" s="11" t="s">
        <v>83</v>
      </c>
      <c r="E292" t="s">
        <v>28</v>
      </c>
      <c r="F292" s="7">
        <v>10</v>
      </c>
      <c r="G292" s="7">
        <v>12</v>
      </c>
      <c r="H292" s="7">
        <f t="shared" si="8"/>
        <v>84</v>
      </c>
      <c r="I292" s="7">
        <f t="shared" si="9"/>
        <v>0.24359999999999998</v>
      </c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spans="1:28" ht="15" thickBot="1" x14ac:dyDescent="0.4">
      <c r="A293" s="5" t="s">
        <v>104</v>
      </c>
      <c r="B293" s="7" t="s">
        <v>45</v>
      </c>
      <c r="C293" s="7" t="s">
        <v>84</v>
      </c>
      <c r="D293" t="s">
        <v>84</v>
      </c>
      <c r="E293" t="s">
        <v>30</v>
      </c>
      <c r="F293" s="7">
        <v>10</v>
      </c>
      <c r="G293" s="7">
        <v>10</v>
      </c>
      <c r="H293" s="7">
        <f t="shared" si="8"/>
        <v>70</v>
      </c>
      <c r="I293" s="7">
        <f t="shared" si="9"/>
        <v>0.20300000000000001</v>
      </c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spans="1:28" ht="15" thickBot="1" x14ac:dyDescent="0.4">
      <c r="A294" s="5" t="s">
        <v>104</v>
      </c>
      <c r="B294" s="7" t="s">
        <v>45</v>
      </c>
      <c r="C294" s="7" t="s">
        <v>85</v>
      </c>
      <c r="D294" t="s">
        <v>85</v>
      </c>
      <c r="E294" t="s">
        <v>31</v>
      </c>
      <c r="F294" s="7">
        <v>5</v>
      </c>
      <c r="G294" s="7">
        <v>5</v>
      </c>
      <c r="H294" s="7">
        <f t="shared" si="8"/>
        <v>35</v>
      </c>
      <c r="I294" s="7">
        <f t="shared" si="9"/>
        <v>0.10150000000000001</v>
      </c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spans="1:28" ht="15" thickBot="1" x14ac:dyDescent="0.4">
      <c r="A295" s="5" t="s">
        <v>104</v>
      </c>
      <c r="B295" s="7" t="s">
        <v>86</v>
      </c>
      <c r="C295" s="7" t="s">
        <v>87</v>
      </c>
      <c r="D295" s="11" t="s">
        <v>87</v>
      </c>
      <c r="E295" t="s">
        <v>29</v>
      </c>
      <c r="F295" s="7">
        <v>50</v>
      </c>
      <c r="G295" s="7">
        <v>50</v>
      </c>
      <c r="H295" s="7">
        <f t="shared" si="8"/>
        <v>350</v>
      </c>
      <c r="I295" s="7">
        <f t="shared" si="9"/>
        <v>1.0149999999999999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spans="1:28" ht="15" thickBot="1" x14ac:dyDescent="0.4">
      <c r="A296" s="5" t="s">
        <v>104</v>
      </c>
      <c r="B296" s="7" t="s">
        <v>86</v>
      </c>
      <c r="C296" s="7" t="s">
        <v>46</v>
      </c>
      <c r="D296" s="11" t="s">
        <v>88</v>
      </c>
      <c r="E296" s="11" t="s">
        <v>88</v>
      </c>
      <c r="F296" s="7">
        <v>5</v>
      </c>
      <c r="G296" s="7">
        <v>5</v>
      </c>
      <c r="H296" s="7">
        <f t="shared" si="8"/>
        <v>35</v>
      </c>
      <c r="I296" s="7">
        <f t="shared" si="9"/>
        <v>0.10150000000000001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spans="1:28" ht="15" thickBot="1" x14ac:dyDescent="0.4">
      <c r="A297" s="5" t="s">
        <v>104</v>
      </c>
      <c r="B297" s="7" t="s">
        <v>86</v>
      </c>
      <c r="C297" s="7" t="s">
        <v>46</v>
      </c>
      <c r="D297" s="11" t="s">
        <v>89</v>
      </c>
      <c r="E297" s="11" t="s">
        <v>89</v>
      </c>
      <c r="F297" s="7">
        <v>0</v>
      </c>
      <c r="G297" s="7">
        <v>0</v>
      </c>
      <c r="H297" s="7">
        <f t="shared" si="8"/>
        <v>0</v>
      </c>
      <c r="I297" s="7">
        <f t="shared" si="9"/>
        <v>0</v>
      </c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spans="1:28" ht="15" thickBot="1" x14ac:dyDescent="0.4">
      <c r="A298" s="5" t="s">
        <v>104</v>
      </c>
      <c r="B298" s="7" t="s">
        <v>86</v>
      </c>
      <c r="C298" s="7" t="s">
        <v>46</v>
      </c>
      <c r="D298" s="11" t="s">
        <v>90</v>
      </c>
      <c r="E298" s="11" t="s">
        <v>90</v>
      </c>
      <c r="F298" s="7">
        <v>16</v>
      </c>
      <c r="G298" s="7">
        <v>16</v>
      </c>
      <c r="H298" s="7">
        <f t="shared" si="8"/>
        <v>112</v>
      </c>
      <c r="I298" s="7">
        <f t="shared" si="9"/>
        <v>0.32480000000000003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spans="1:28" ht="15" thickBot="1" x14ac:dyDescent="0.4">
      <c r="A299" s="5" t="s">
        <v>104</v>
      </c>
      <c r="B299" s="7" t="s">
        <v>86</v>
      </c>
      <c r="C299" s="7" t="s">
        <v>46</v>
      </c>
      <c r="D299" s="11" t="s">
        <v>91</v>
      </c>
      <c r="E299" s="11" t="s">
        <v>91</v>
      </c>
      <c r="F299" s="7">
        <v>5</v>
      </c>
      <c r="G299" s="7">
        <v>5</v>
      </c>
      <c r="H299" s="7">
        <f t="shared" si="8"/>
        <v>35</v>
      </c>
      <c r="I299" s="7">
        <f t="shared" si="9"/>
        <v>0.10150000000000001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28" ht="15" thickBot="1" x14ac:dyDescent="0.4">
      <c r="A300" s="5" t="s">
        <v>104</v>
      </c>
      <c r="B300" s="7" t="s">
        <v>86</v>
      </c>
      <c r="C300" s="7" t="s">
        <v>92</v>
      </c>
      <c r="D300" t="s">
        <v>93</v>
      </c>
      <c r="E300" t="s">
        <v>93</v>
      </c>
      <c r="F300" s="7">
        <v>8</v>
      </c>
      <c r="G300" s="7">
        <v>9</v>
      </c>
      <c r="H300" s="7">
        <f t="shared" si="8"/>
        <v>63</v>
      </c>
      <c r="I300" s="7">
        <f t="shared" si="9"/>
        <v>0.1827</v>
      </c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spans="1:28" ht="15" thickBot="1" x14ac:dyDescent="0.4">
      <c r="A301" s="5" t="s">
        <v>104</v>
      </c>
      <c r="B301" s="7" t="s">
        <v>86</v>
      </c>
      <c r="C301" s="7" t="s">
        <v>92</v>
      </c>
      <c r="D301" t="s">
        <v>94</v>
      </c>
      <c r="E301" t="s">
        <v>94</v>
      </c>
      <c r="F301" s="7">
        <v>3</v>
      </c>
      <c r="G301" s="7">
        <v>3</v>
      </c>
      <c r="H301" s="7">
        <f t="shared" si="8"/>
        <v>21</v>
      </c>
      <c r="I301" s="7">
        <f t="shared" si="9"/>
        <v>6.0899999999999996E-2</v>
      </c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spans="1:28" ht="15" thickBot="1" x14ac:dyDescent="0.4">
      <c r="A302" s="5" t="s">
        <v>105</v>
      </c>
      <c r="B302" s="7" t="s">
        <v>52</v>
      </c>
      <c r="C302" s="7" t="s">
        <v>35</v>
      </c>
      <c r="D302" s="8" t="s">
        <v>47</v>
      </c>
      <c r="E302" t="s">
        <v>3</v>
      </c>
      <c r="F302" s="7">
        <v>30</v>
      </c>
      <c r="G302" s="7">
        <v>30</v>
      </c>
      <c r="H302" s="7">
        <f t="shared" si="8"/>
        <v>210</v>
      </c>
      <c r="I302" s="7">
        <f t="shared" si="9"/>
        <v>0.60899999999999999</v>
      </c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spans="1:28" ht="15" thickBot="1" x14ac:dyDescent="0.4">
      <c r="A303" s="5" t="s">
        <v>105</v>
      </c>
      <c r="B303" s="7" t="s">
        <v>52</v>
      </c>
      <c r="C303" s="7" t="s">
        <v>35</v>
      </c>
      <c r="D303" s="8" t="s">
        <v>48</v>
      </c>
      <c r="E303" t="s">
        <v>7</v>
      </c>
      <c r="F303" s="7">
        <v>5</v>
      </c>
      <c r="G303" s="7">
        <v>6</v>
      </c>
      <c r="H303" s="7">
        <f t="shared" si="8"/>
        <v>42</v>
      </c>
      <c r="I303" s="7">
        <f t="shared" si="9"/>
        <v>0.12179999999999999</v>
      </c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28" ht="15" thickBot="1" x14ac:dyDescent="0.4">
      <c r="A304" s="5" t="s">
        <v>105</v>
      </c>
      <c r="B304" s="7" t="s">
        <v>52</v>
      </c>
      <c r="C304" s="7" t="s">
        <v>35</v>
      </c>
      <c r="D304" s="8" t="s">
        <v>49</v>
      </c>
      <c r="E304" t="s">
        <v>4</v>
      </c>
      <c r="F304" s="7">
        <v>40</v>
      </c>
      <c r="G304" s="7">
        <v>40</v>
      </c>
      <c r="H304" s="7">
        <f t="shared" si="8"/>
        <v>280</v>
      </c>
      <c r="I304" s="7">
        <f t="shared" si="9"/>
        <v>0.81200000000000006</v>
      </c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1:28" ht="15" thickBot="1" x14ac:dyDescent="0.4">
      <c r="A305" s="5" t="s">
        <v>105</v>
      </c>
      <c r="B305" s="7" t="s">
        <v>52</v>
      </c>
      <c r="C305" s="7" t="s">
        <v>35</v>
      </c>
      <c r="D305" s="8" t="s">
        <v>50</v>
      </c>
      <c r="E305" t="s">
        <v>6</v>
      </c>
      <c r="F305" s="7">
        <v>10</v>
      </c>
      <c r="G305" s="7">
        <v>10</v>
      </c>
      <c r="H305" s="7">
        <f t="shared" si="8"/>
        <v>70</v>
      </c>
      <c r="I305" s="7">
        <f t="shared" si="9"/>
        <v>0.20300000000000001</v>
      </c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1:28" ht="15" thickBot="1" x14ac:dyDescent="0.4">
      <c r="A306" s="5" t="s">
        <v>105</v>
      </c>
      <c r="B306" s="7" t="s">
        <v>52</v>
      </c>
      <c r="C306" s="7" t="s">
        <v>35</v>
      </c>
      <c r="D306" s="8" t="s">
        <v>51</v>
      </c>
      <c r="E306" t="s">
        <v>5</v>
      </c>
      <c r="F306" s="7">
        <v>2</v>
      </c>
      <c r="G306" s="7">
        <v>2</v>
      </c>
      <c r="H306" s="7">
        <f t="shared" si="8"/>
        <v>14</v>
      </c>
      <c r="I306" s="7">
        <f t="shared" si="9"/>
        <v>4.0600000000000004E-2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1:28" ht="15" thickBot="1" x14ac:dyDescent="0.4">
      <c r="A307" s="5" t="s">
        <v>105</v>
      </c>
      <c r="B307" s="7" t="s">
        <v>52</v>
      </c>
      <c r="C307" s="7" t="s">
        <v>37</v>
      </c>
      <c r="D307" s="9" t="s">
        <v>114</v>
      </c>
      <c r="E307" t="s">
        <v>8</v>
      </c>
      <c r="F307" s="7">
        <v>110</v>
      </c>
      <c r="G307" s="7">
        <v>128</v>
      </c>
      <c r="H307" s="7">
        <f t="shared" si="8"/>
        <v>896</v>
      </c>
      <c r="I307" s="7">
        <f t="shared" si="9"/>
        <v>2.5984000000000003</v>
      </c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1:28" ht="15" thickBot="1" x14ac:dyDescent="0.4">
      <c r="A308" s="5" t="s">
        <v>105</v>
      </c>
      <c r="B308" s="7" t="s">
        <v>52</v>
      </c>
      <c r="C308" s="7" t="s">
        <v>37</v>
      </c>
      <c r="D308" s="8" t="s">
        <v>115</v>
      </c>
      <c r="E308" t="s">
        <v>9</v>
      </c>
      <c r="F308" s="7">
        <v>80</v>
      </c>
      <c r="G308" s="7">
        <v>94</v>
      </c>
      <c r="H308" s="7">
        <f t="shared" si="8"/>
        <v>658</v>
      </c>
      <c r="I308" s="7">
        <f t="shared" si="9"/>
        <v>1.9082000000000001</v>
      </c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1:28" ht="15" thickBot="1" x14ac:dyDescent="0.4">
      <c r="A309" s="5" t="s">
        <v>105</v>
      </c>
      <c r="B309" s="7" t="s">
        <v>52</v>
      </c>
      <c r="C309" s="7" t="s">
        <v>37</v>
      </c>
      <c r="D309" s="10" t="s">
        <v>53</v>
      </c>
      <c r="E309" t="s">
        <v>10</v>
      </c>
      <c r="F309" s="7">
        <v>110</v>
      </c>
      <c r="G309" s="7">
        <v>175</v>
      </c>
      <c r="H309" s="7">
        <f t="shared" si="8"/>
        <v>1225</v>
      </c>
      <c r="I309" s="7">
        <f t="shared" si="9"/>
        <v>3.5525000000000002</v>
      </c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1:28" ht="15" thickBot="1" x14ac:dyDescent="0.4">
      <c r="A310" s="5" t="s">
        <v>105</v>
      </c>
      <c r="B310" s="7" t="s">
        <v>52</v>
      </c>
      <c r="C310" s="7" t="s">
        <v>37</v>
      </c>
      <c r="D310" s="10" t="s">
        <v>96</v>
      </c>
      <c r="E310" t="s">
        <v>113</v>
      </c>
      <c r="F310" s="7">
        <v>0</v>
      </c>
      <c r="G310" s="7">
        <v>0</v>
      </c>
      <c r="H310" s="7">
        <f t="shared" si="8"/>
        <v>0</v>
      </c>
      <c r="I310" s="7">
        <f t="shared" si="9"/>
        <v>0</v>
      </c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1:28" ht="15" thickBot="1" x14ac:dyDescent="0.4">
      <c r="A311" s="5" t="s">
        <v>105</v>
      </c>
      <c r="B311" s="7" t="s">
        <v>52</v>
      </c>
      <c r="C311" s="7" t="s">
        <v>37</v>
      </c>
      <c r="D311" s="10" t="s">
        <v>50</v>
      </c>
      <c r="E311" t="s">
        <v>11</v>
      </c>
      <c r="F311" s="7">
        <v>10</v>
      </c>
      <c r="G311" s="7">
        <v>10</v>
      </c>
      <c r="H311" s="7">
        <f t="shared" si="8"/>
        <v>70</v>
      </c>
      <c r="I311" s="7">
        <f t="shared" si="9"/>
        <v>0.20300000000000001</v>
      </c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1:28" ht="15" thickBot="1" x14ac:dyDescent="0.4">
      <c r="A312" s="5" t="s">
        <v>105</v>
      </c>
      <c r="B312" s="7" t="s">
        <v>54</v>
      </c>
      <c r="C312" s="7" t="s">
        <v>36</v>
      </c>
      <c r="D312" s="8" t="s">
        <v>55</v>
      </c>
      <c r="E312" t="s">
        <v>12</v>
      </c>
      <c r="F312" s="7">
        <v>80</v>
      </c>
      <c r="G312" s="7">
        <v>94</v>
      </c>
      <c r="H312" s="7">
        <f t="shared" si="8"/>
        <v>658</v>
      </c>
      <c r="I312" s="7">
        <f t="shared" si="9"/>
        <v>1.9082000000000001</v>
      </c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1:28" ht="15" thickBot="1" x14ac:dyDescent="0.4">
      <c r="A313" s="5" t="s">
        <v>105</v>
      </c>
      <c r="B313" s="7" t="s">
        <v>54</v>
      </c>
      <c r="C313" s="7" t="s">
        <v>36</v>
      </c>
      <c r="D313" s="8" t="s">
        <v>56</v>
      </c>
      <c r="E313" t="s">
        <v>13</v>
      </c>
      <c r="F313" s="7">
        <v>80</v>
      </c>
      <c r="G313" s="7">
        <v>103</v>
      </c>
      <c r="H313" s="7">
        <f t="shared" si="8"/>
        <v>721</v>
      </c>
      <c r="I313" s="7">
        <f t="shared" si="9"/>
        <v>2.0909</v>
      </c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1:28" ht="15" thickBot="1" x14ac:dyDescent="0.4">
      <c r="A314" s="5" t="s">
        <v>105</v>
      </c>
      <c r="B314" s="7" t="s">
        <v>54</v>
      </c>
      <c r="C314" s="7" t="s">
        <v>36</v>
      </c>
      <c r="D314" s="8" t="s">
        <v>57</v>
      </c>
      <c r="E314" t="s">
        <v>14</v>
      </c>
      <c r="F314" s="7">
        <v>30</v>
      </c>
      <c r="G314" s="7">
        <v>38</v>
      </c>
      <c r="H314" s="7">
        <f t="shared" si="8"/>
        <v>266</v>
      </c>
      <c r="I314" s="7">
        <f t="shared" si="9"/>
        <v>0.77139999999999997</v>
      </c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1:28" ht="15" thickBot="1" x14ac:dyDescent="0.4">
      <c r="A315" s="5" t="s">
        <v>105</v>
      </c>
      <c r="B315" s="7" t="s">
        <v>54</v>
      </c>
      <c r="C315" s="7" t="s">
        <v>38</v>
      </c>
      <c r="D315" s="8" t="s">
        <v>58</v>
      </c>
      <c r="E315" t="s">
        <v>15</v>
      </c>
      <c r="F315" s="7">
        <v>80</v>
      </c>
      <c r="G315" s="7">
        <v>123</v>
      </c>
      <c r="H315" s="7">
        <f t="shared" si="8"/>
        <v>861</v>
      </c>
      <c r="I315" s="7">
        <f t="shared" si="9"/>
        <v>2.4969000000000001</v>
      </c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1:28" ht="15" thickBot="1" x14ac:dyDescent="0.4">
      <c r="A316" s="5" t="s">
        <v>105</v>
      </c>
      <c r="B316" s="7" t="s">
        <v>54</v>
      </c>
      <c r="C316" s="7" t="s">
        <v>38</v>
      </c>
      <c r="D316" s="8" t="s">
        <v>59</v>
      </c>
      <c r="E316" t="s">
        <v>16</v>
      </c>
      <c r="F316" s="7">
        <v>25</v>
      </c>
      <c r="G316" s="7">
        <v>37</v>
      </c>
      <c r="H316" s="7">
        <f t="shared" si="8"/>
        <v>259</v>
      </c>
      <c r="I316" s="7">
        <f t="shared" si="9"/>
        <v>0.75109999999999999</v>
      </c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1:28" ht="15" thickBot="1" x14ac:dyDescent="0.4">
      <c r="A317" s="5" t="s">
        <v>105</v>
      </c>
      <c r="B317" s="7" t="s">
        <v>54</v>
      </c>
      <c r="C317" s="7" t="s">
        <v>38</v>
      </c>
      <c r="D317" s="8" t="s">
        <v>60</v>
      </c>
      <c r="E317" t="s">
        <v>17</v>
      </c>
      <c r="F317" s="7">
        <v>80</v>
      </c>
      <c r="G317" s="7">
        <v>123</v>
      </c>
      <c r="H317" s="7">
        <f t="shared" si="8"/>
        <v>861</v>
      </c>
      <c r="I317" s="7">
        <f t="shared" si="9"/>
        <v>2.4969000000000001</v>
      </c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1:28" ht="15" thickBot="1" x14ac:dyDescent="0.4">
      <c r="A318" s="5" t="s">
        <v>105</v>
      </c>
      <c r="B318" s="7" t="s">
        <v>39</v>
      </c>
      <c r="C318" s="7" t="s">
        <v>61</v>
      </c>
      <c r="D318" s="11" t="s">
        <v>97</v>
      </c>
      <c r="E318" t="s">
        <v>18</v>
      </c>
      <c r="F318" s="7">
        <v>100</v>
      </c>
      <c r="G318" s="7">
        <v>100</v>
      </c>
      <c r="H318" s="7">
        <f t="shared" si="8"/>
        <v>700</v>
      </c>
      <c r="I318" s="7">
        <f t="shared" si="9"/>
        <v>2.0299999999999998</v>
      </c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1:28" ht="15" thickBot="1" x14ac:dyDescent="0.4">
      <c r="A319" s="5" t="s">
        <v>105</v>
      </c>
      <c r="B319" s="7" t="s">
        <v>39</v>
      </c>
      <c r="C319" s="7" t="s">
        <v>61</v>
      </c>
      <c r="D319" s="11" t="s">
        <v>62</v>
      </c>
      <c r="E319" t="s">
        <v>19</v>
      </c>
      <c r="F319" s="7">
        <v>0</v>
      </c>
      <c r="G319" s="7">
        <v>0</v>
      </c>
      <c r="H319" s="7">
        <f t="shared" si="8"/>
        <v>0</v>
      </c>
      <c r="I319" s="7">
        <f t="shared" si="9"/>
        <v>0</v>
      </c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1:28" ht="15" thickBot="1" x14ac:dyDescent="0.4">
      <c r="A320" s="5" t="s">
        <v>105</v>
      </c>
      <c r="B320" s="7" t="s">
        <v>39</v>
      </c>
      <c r="C320" s="7" t="s">
        <v>61</v>
      </c>
      <c r="D320" s="11" t="s">
        <v>98</v>
      </c>
      <c r="E320" t="s">
        <v>20</v>
      </c>
      <c r="F320" s="7">
        <v>0</v>
      </c>
      <c r="G320" s="7">
        <v>0</v>
      </c>
      <c r="H320" s="7">
        <f t="shared" si="8"/>
        <v>0</v>
      </c>
      <c r="I320" s="7">
        <f t="shared" si="9"/>
        <v>0</v>
      </c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1:28" ht="15" thickBot="1" x14ac:dyDescent="0.4">
      <c r="A321" s="5" t="s">
        <v>105</v>
      </c>
      <c r="B321" s="7" t="s">
        <v>39</v>
      </c>
      <c r="C321" s="7" t="s">
        <v>61</v>
      </c>
      <c r="D321" s="11" t="s">
        <v>63</v>
      </c>
      <c r="E321" t="s">
        <v>21</v>
      </c>
      <c r="F321" s="7">
        <v>50</v>
      </c>
      <c r="G321" s="7">
        <v>50</v>
      </c>
      <c r="H321" s="7">
        <f t="shared" si="8"/>
        <v>350</v>
      </c>
      <c r="I321" s="7">
        <f t="shared" si="9"/>
        <v>1.0149999999999999</v>
      </c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1:28" ht="15" thickBot="1" x14ac:dyDescent="0.4">
      <c r="A322" s="5" t="s">
        <v>105</v>
      </c>
      <c r="B322" s="7" t="s">
        <v>39</v>
      </c>
      <c r="C322" s="7" t="s">
        <v>64</v>
      </c>
      <c r="D322" s="11" t="s">
        <v>65</v>
      </c>
      <c r="E322" t="s">
        <v>20</v>
      </c>
      <c r="F322" s="7">
        <v>0</v>
      </c>
      <c r="G322" s="7">
        <v>0</v>
      </c>
      <c r="H322" s="7">
        <f t="shared" si="8"/>
        <v>0</v>
      </c>
      <c r="I322" s="7">
        <f t="shared" si="9"/>
        <v>0</v>
      </c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1:28" ht="15" thickBot="1" x14ac:dyDescent="0.4">
      <c r="A323" s="5" t="s">
        <v>105</v>
      </c>
      <c r="B323" s="7" t="s">
        <v>39</v>
      </c>
      <c r="C323" s="7" t="s">
        <v>64</v>
      </c>
      <c r="D323" s="11" t="s">
        <v>66</v>
      </c>
      <c r="E323" t="s">
        <v>20</v>
      </c>
      <c r="F323" s="7">
        <v>0</v>
      </c>
      <c r="G323" s="7">
        <v>0</v>
      </c>
      <c r="H323" s="7">
        <f t="shared" ref="H323:H386" si="10">G323*7</f>
        <v>0</v>
      </c>
      <c r="I323" s="7">
        <f t="shared" ref="I323:I386" si="11">H323*2.9/(1000)</f>
        <v>0</v>
      </c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1:28" ht="15" thickBot="1" x14ac:dyDescent="0.4">
      <c r="A324" s="5" t="s">
        <v>105</v>
      </c>
      <c r="B324" s="7" t="s">
        <v>39</v>
      </c>
      <c r="C324" s="7" t="s">
        <v>64</v>
      </c>
      <c r="D324" s="11" t="s">
        <v>67</v>
      </c>
      <c r="E324" t="s">
        <v>22</v>
      </c>
      <c r="F324" s="7">
        <v>35</v>
      </c>
      <c r="G324" s="7">
        <v>35</v>
      </c>
      <c r="H324" s="7">
        <f t="shared" si="10"/>
        <v>245</v>
      </c>
      <c r="I324" s="7">
        <f t="shared" si="11"/>
        <v>0.71050000000000002</v>
      </c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1:28" ht="15" thickBot="1" x14ac:dyDescent="0.4">
      <c r="A325" s="5" t="s">
        <v>105</v>
      </c>
      <c r="B325" s="7" t="s">
        <v>68</v>
      </c>
      <c r="C325" s="7" t="s">
        <v>69</v>
      </c>
      <c r="D325" s="11" t="s">
        <v>70</v>
      </c>
      <c r="E325" t="s">
        <v>116</v>
      </c>
      <c r="F325" s="7">
        <v>10</v>
      </c>
      <c r="G325" s="7">
        <v>11</v>
      </c>
      <c r="H325" s="7">
        <f t="shared" si="10"/>
        <v>77</v>
      </c>
      <c r="I325" s="7">
        <f t="shared" si="11"/>
        <v>0.22329999999999997</v>
      </c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1:28" ht="15" thickBot="1" x14ac:dyDescent="0.4">
      <c r="A326" s="5" t="s">
        <v>105</v>
      </c>
      <c r="B326" s="7" t="s">
        <v>68</v>
      </c>
      <c r="C326" s="7" t="s">
        <v>69</v>
      </c>
      <c r="D326" s="11" t="s">
        <v>71</v>
      </c>
      <c r="E326" t="s">
        <v>117</v>
      </c>
      <c r="F326" s="7">
        <v>20</v>
      </c>
      <c r="G326" s="7">
        <v>26</v>
      </c>
      <c r="H326" s="7">
        <f t="shared" si="10"/>
        <v>182</v>
      </c>
      <c r="I326" s="7">
        <f t="shared" si="11"/>
        <v>0.52779999999999994</v>
      </c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1:28" ht="15" thickBot="1" x14ac:dyDescent="0.4">
      <c r="A327" s="5" t="s">
        <v>105</v>
      </c>
      <c r="B327" s="7" t="s">
        <v>68</v>
      </c>
      <c r="C327" s="7" t="s">
        <v>69</v>
      </c>
      <c r="D327" s="11" t="s">
        <v>72</v>
      </c>
      <c r="E327" t="s">
        <v>118</v>
      </c>
      <c r="F327" s="7">
        <v>10</v>
      </c>
      <c r="G327" s="7">
        <v>12</v>
      </c>
      <c r="H327" s="7">
        <f t="shared" si="10"/>
        <v>84</v>
      </c>
      <c r="I327" s="7">
        <f t="shared" si="11"/>
        <v>0.24359999999999998</v>
      </c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1:28" ht="15" thickBot="1" x14ac:dyDescent="0.4">
      <c r="A328" s="5" t="s">
        <v>105</v>
      </c>
      <c r="B328" s="7" t="s">
        <v>68</v>
      </c>
      <c r="C328" s="7" t="s">
        <v>69</v>
      </c>
      <c r="D328" s="11" t="s">
        <v>73</v>
      </c>
      <c r="E328" t="s">
        <v>119</v>
      </c>
      <c r="F328" s="7">
        <v>0</v>
      </c>
      <c r="G328" s="7">
        <v>0</v>
      </c>
      <c r="H328" s="7">
        <f t="shared" si="10"/>
        <v>0</v>
      </c>
      <c r="I328" s="7">
        <f t="shared" si="11"/>
        <v>0</v>
      </c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1:28" ht="15" thickBot="1" x14ac:dyDescent="0.4">
      <c r="A329" s="5" t="s">
        <v>105</v>
      </c>
      <c r="B329" s="7" t="s">
        <v>68</v>
      </c>
      <c r="C329" s="7" t="s">
        <v>40</v>
      </c>
      <c r="D329" s="11" t="s">
        <v>74</v>
      </c>
      <c r="E329" t="s">
        <v>120</v>
      </c>
      <c r="F329" s="7">
        <v>10</v>
      </c>
      <c r="G329" s="7">
        <v>15</v>
      </c>
      <c r="H329" s="7">
        <f t="shared" si="10"/>
        <v>105</v>
      </c>
      <c r="I329" s="7">
        <f t="shared" si="11"/>
        <v>0.30449999999999999</v>
      </c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1:28" ht="15" thickBot="1" x14ac:dyDescent="0.4">
      <c r="A330" s="5" t="s">
        <v>105</v>
      </c>
      <c r="B330" s="7" t="s">
        <v>68</v>
      </c>
      <c r="C330" s="7" t="s">
        <v>40</v>
      </c>
      <c r="D330" s="11" t="s">
        <v>75</v>
      </c>
      <c r="E330" s="11" t="s">
        <v>121</v>
      </c>
      <c r="F330" s="7">
        <v>5</v>
      </c>
      <c r="G330" s="7">
        <v>7</v>
      </c>
      <c r="H330" s="7">
        <f t="shared" si="10"/>
        <v>49</v>
      </c>
      <c r="I330" s="7">
        <f t="shared" si="11"/>
        <v>0.1421</v>
      </c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1:28" ht="15" thickBot="1" x14ac:dyDescent="0.4">
      <c r="A331" s="5" t="s">
        <v>105</v>
      </c>
      <c r="B331" s="7" t="s">
        <v>68</v>
      </c>
      <c r="C331" s="7" t="s">
        <v>40</v>
      </c>
      <c r="D331" s="11" t="s">
        <v>76</v>
      </c>
      <c r="E331" s="11" t="s">
        <v>122</v>
      </c>
      <c r="F331" s="7">
        <v>5</v>
      </c>
      <c r="G331" s="7">
        <v>7</v>
      </c>
      <c r="H331" s="7">
        <f t="shared" si="10"/>
        <v>49</v>
      </c>
      <c r="I331" s="7">
        <f t="shared" si="11"/>
        <v>0.1421</v>
      </c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1:28" ht="15" thickBot="1" x14ac:dyDescent="0.4">
      <c r="A332" s="5" t="s">
        <v>105</v>
      </c>
      <c r="B332" s="7" t="s">
        <v>68</v>
      </c>
      <c r="C332" s="7" t="s">
        <v>41</v>
      </c>
      <c r="D332" s="11" t="s">
        <v>77</v>
      </c>
      <c r="E332" t="s">
        <v>23</v>
      </c>
      <c r="F332" s="7">
        <v>20</v>
      </c>
      <c r="G332" s="7">
        <v>24</v>
      </c>
      <c r="H332" s="7">
        <f t="shared" si="10"/>
        <v>168</v>
      </c>
      <c r="I332" s="7">
        <f t="shared" si="11"/>
        <v>0.48719999999999997</v>
      </c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1:28" ht="15" thickBot="1" x14ac:dyDescent="0.4">
      <c r="A333" s="5" t="s">
        <v>105</v>
      </c>
      <c r="B333" s="7" t="s">
        <v>68</v>
      </c>
      <c r="C333" s="7" t="s">
        <v>41</v>
      </c>
      <c r="D333" s="11" t="s">
        <v>78</v>
      </c>
      <c r="E333" t="s">
        <v>24</v>
      </c>
      <c r="F333" s="7">
        <v>0</v>
      </c>
      <c r="G333" s="7">
        <v>0</v>
      </c>
      <c r="H333" s="7">
        <f t="shared" si="10"/>
        <v>0</v>
      </c>
      <c r="I333" s="7">
        <f t="shared" si="11"/>
        <v>0</v>
      </c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1:28" ht="15" thickBot="1" x14ac:dyDescent="0.4">
      <c r="A334" s="5" t="s">
        <v>105</v>
      </c>
      <c r="B334" s="7" t="s">
        <v>68</v>
      </c>
      <c r="C334" s="7" t="s">
        <v>42</v>
      </c>
      <c r="D334" s="6" t="s">
        <v>71</v>
      </c>
      <c r="E334" t="s">
        <v>123</v>
      </c>
      <c r="F334" s="7">
        <v>5</v>
      </c>
      <c r="G334" s="7">
        <v>6</v>
      </c>
      <c r="H334" s="7">
        <f t="shared" si="10"/>
        <v>42</v>
      </c>
      <c r="I334" s="7">
        <f t="shared" si="11"/>
        <v>0.12179999999999999</v>
      </c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1:28" ht="15" thickBot="1" x14ac:dyDescent="0.4">
      <c r="A335" s="5" t="s">
        <v>105</v>
      </c>
      <c r="B335" s="7" t="s">
        <v>68</v>
      </c>
      <c r="C335" s="7" t="s">
        <v>42</v>
      </c>
      <c r="D335" s="6" t="s">
        <v>73</v>
      </c>
      <c r="E335" t="s">
        <v>124</v>
      </c>
      <c r="F335" s="7">
        <v>0</v>
      </c>
      <c r="G335" s="7">
        <v>0</v>
      </c>
      <c r="H335" s="7">
        <f t="shared" si="10"/>
        <v>0</v>
      </c>
      <c r="I335" s="7">
        <f t="shared" si="11"/>
        <v>0</v>
      </c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1:28" ht="15" thickBot="1" x14ac:dyDescent="0.4">
      <c r="A336" s="5" t="s">
        <v>105</v>
      </c>
      <c r="B336" s="7" t="s">
        <v>68</v>
      </c>
      <c r="C336" s="7" t="s">
        <v>42</v>
      </c>
      <c r="D336" s="6" t="s">
        <v>74</v>
      </c>
      <c r="E336" t="s">
        <v>125</v>
      </c>
      <c r="F336" s="7">
        <v>5</v>
      </c>
      <c r="G336" s="7">
        <v>6</v>
      </c>
      <c r="H336" s="7">
        <f t="shared" si="10"/>
        <v>42</v>
      </c>
      <c r="I336" s="7">
        <f t="shared" si="11"/>
        <v>0.12179999999999999</v>
      </c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1:28" ht="15" thickBot="1" x14ac:dyDescent="0.4">
      <c r="A337" s="5" t="s">
        <v>105</v>
      </c>
      <c r="B337" s="7" t="s">
        <v>68</v>
      </c>
      <c r="C337" s="7" t="s">
        <v>42</v>
      </c>
      <c r="D337" s="6" t="s">
        <v>76</v>
      </c>
      <c r="E337" t="s">
        <v>126</v>
      </c>
      <c r="F337" s="7">
        <v>0</v>
      </c>
      <c r="G337" s="7">
        <v>0</v>
      </c>
      <c r="H337" s="7">
        <f t="shared" si="10"/>
        <v>0</v>
      </c>
      <c r="I337" s="7">
        <f t="shared" si="11"/>
        <v>0</v>
      </c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1:28" ht="15" thickBot="1" x14ac:dyDescent="0.4">
      <c r="A338" s="5" t="s">
        <v>105</v>
      </c>
      <c r="B338" s="7" t="s">
        <v>68</v>
      </c>
      <c r="C338" s="7" t="s">
        <v>79</v>
      </c>
      <c r="D338" s="11" t="s">
        <v>79</v>
      </c>
      <c r="E338" t="s">
        <v>25</v>
      </c>
      <c r="F338" s="7">
        <v>25</v>
      </c>
      <c r="G338" s="7">
        <v>28</v>
      </c>
      <c r="H338" s="7">
        <f t="shared" si="10"/>
        <v>196</v>
      </c>
      <c r="I338" s="7">
        <f t="shared" si="11"/>
        <v>0.56840000000000002</v>
      </c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1:28" ht="15" thickBot="1" x14ac:dyDescent="0.4">
      <c r="A339" s="5" t="s">
        <v>105</v>
      </c>
      <c r="B339" s="7" t="s">
        <v>80</v>
      </c>
      <c r="C339" s="7" t="s">
        <v>43</v>
      </c>
      <c r="D339" s="11" t="s">
        <v>43</v>
      </c>
      <c r="E339" t="s">
        <v>26</v>
      </c>
      <c r="F339" s="7">
        <v>90</v>
      </c>
      <c r="G339" s="7">
        <v>90</v>
      </c>
      <c r="H339" s="7">
        <f t="shared" si="10"/>
        <v>630</v>
      </c>
      <c r="I339" s="7">
        <f t="shared" si="11"/>
        <v>1.827</v>
      </c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1:28" ht="15" thickBot="1" x14ac:dyDescent="0.4">
      <c r="A340" s="5" t="s">
        <v>105</v>
      </c>
      <c r="B340" s="7" t="s">
        <v>80</v>
      </c>
      <c r="C340" s="7" t="s">
        <v>43</v>
      </c>
      <c r="D340" s="11" t="s">
        <v>81</v>
      </c>
      <c r="E340" t="s">
        <v>27</v>
      </c>
      <c r="F340" s="7">
        <v>0</v>
      </c>
      <c r="G340" s="7">
        <v>0</v>
      </c>
      <c r="H340" s="7">
        <f t="shared" si="10"/>
        <v>0</v>
      </c>
      <c r="I340" s="7">
        <f t="shared" si="11"/>
        <v>0</v>
      </c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1:28" ht="15" thickBot="1" x14ac:dyDescent="0.4">
      <c r="A341" s="5" t="s">
        <v>105</v>
      </c>
      <c r="B341" s="7" t="s">
        <v>80</v>
      </c>
      <c r="C341" s="7" t="s">
        <v>44</v>
      </c>
      <c r="D341" s="11" t="s">
        <v>82</v>
      </c>
      <c r="E341" t="s">
        <v>127</v>
      </c>
      <c r="F341" s="7">
        <v>25</v>
      </c>
      <c r="G341" s="7">
        <v>31</v>
      </c>
      <c r="H341" s="7">
        <f t="shared" si="10"/>
        <v>217</v>
      </c>
      <c r="I341" s="7">
        <f t="shared" si="11"/>
        <v>0.62929999999999997</v>
      </c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1:28" ht="15" thickBot="1" x14ac:dyDescent="0.4">
      <c r="A342" s="5" t="s">
        <v>105</v>
      </c>
      <c r="B342" s="7" t="s">
        <v>80</v>
      </c>
      <c r="C342" s="7" t="s">
        <v>44</v>
      </c>
      <c r="D342" s="11" t="s">
        <v>83</v>
      </c>
      <c r="E342" t="s">
        <v>28</v>
      </c>
      <c r="F342" s="7">
        <v>10</v>
      </c>
      <c r="G342" s="7">
        <v>12</v>
      </c>
      <c r="H342" s="7">
        <f t="shared" si="10"/>
        <v>84</v>
      </c>
      <c r="I342" s="7">
        <f t="shared" si="11"/>
        <v>0.24359999999999998</v>
      </c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1:28" ht="15" thickBot="1" x14ac:dyDescent="0.4">
      <c r="A343" s="5" t="s">
        <v>105</v>
      </c>
      <c r="B343" s="7" t="s">
        <v>45</v>
      </c>
      <c r="C343" s="7" t="s">
        <v>84</v>
      </c>
      <c r="D343" t="s">
        <v>84</v>
      </c>
      <c r="E343" t="s">
        <v>30</v>
      </c>
      <c r="F343" s="7">
        <v>15</v>
      </c>
      <c r="G343" s="7">
        <v>15</v>
      </c>
      <c r="H343" s="7">
        <f t="shared" si="10"/>
        <v>105</v>
      </c>
      <c r="I343" s="7">
        <f t="shared" si="11"/>
        <v>0.30449999999999999</v>
      </c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1:28" ht="15" thickBot="1" x14ac:dyDescent="0.4">
      <c r="A344" s="5" t="s">
        <v>105</v>
      </c>
      <c r="B344" s="7" t="s">
        <v>45</v>
      </c>
      <c r="C344" s="7" t="s">
        <v>85</v>
      </c>
      <c r="D344" t="s">
        <v>85</v>
      </c>
      <c r="E344" t="s">
        <v>31</v>
      </c>
      <c r="F344" s="7">
        <v>5</v>
      </c>
      <c r="G344" s="7">
        <v>5</v>
      </c>
      <c r="H344" s="7">
        <f t="shared" si="10"/>
        <v>35</v>
      </c>
      <c r="I344" s="7">
        <f t="shared" si="11"/>
        <v>0.10150000000000001</v>
      </c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1:28" ht="15" thickBot="1" x14ac:dyDescent="0.4">
      <c r="A345" s="5" t="s">
        <v>105</v>
      </c>
      <c r="B345" s="7" t="s">
        <v>86</v>
      </c>
      <c r="C345" s="7" t="s">
        <v>87</v>
      </c>
      <c r="D345" s="11" t="s">
        <v>87</v>
      </c>
      <c r="E345" t="s">
        <v>29</v>
      </c>
      <c r="F345" s="7">
        <v>50</v>
      </c>
      <c r="G345" s="7">
        <v>50</v>
      </c>
      <c r="H345" s="7">
        <f t="shared" si="10"/>
        <v>350</v>
      </c>
      <c r="I345" s="7">
        <f t="shared" si="11"/>
        <v>1.0149999999999999</v>
      </c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1:28" ht="15" thickBot="1" x14ac:dyDescent="0.4">
      <c r="A346" s="5" t="s">
        <v>105</v>
      </c>
      <c r="B346" s="7" t="s">
        <v>86</v>
      </c>
      <c r="C346" s="7" t="s">
        <v>46</v>
      </c>
      <c r="D346" s="11" t="s">
        <v>88</v>
      </c>
      <c r="E346" s="11" t="s">
        <v>88</v>
      </c>
      <c r="F346" s="7">
        <v>5</v>
      </c>
      <c r="G346" s="7">
        <v>5</v>
      </c>
      <c r="H346" s="7">
        <f t="shared" si="10"/>
        <v>35</v>
      </c>
      <c r="I346" s="7">
        <f t="shared" si="11"/>
        <v>0.10150000000000001</v>
      </c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1:28" ht="15" thickBot="1" x14ac:dyDescent="0.4">
      <c r="A347" s="5" t="s">
        <v>105</v>
      </c>
      <c r="B347" s="7" t="s">
        <v>86</v>
      </c>
      <c r="C347" s="7" t="s">
        <v>46</v>
      </c>
      <c r="D347" s="11" t="s">
        <v>89</v>
      </c>
      <c r="E347" s="11" t="s">
        <v>89</v>
      </c>
      <c r="F347" s="7">
        <v>0</v>
      </c>
      <c r="G347" s="7">
        <v>0</v>
      </c>
      <c r="H347" s="7">
        <f t="shared" si="10"/>
        <v>0</v>
      </c>
      <c r="I347" s="7">
        <f t="shared" si="11"/>
        <v>0</v>
      </c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1:28" ht="15" thickBot="1" x14ac:dyDescent="0.4">
      <c r="A348" s="5" t="s">
        <v>105</v>
      </c>
      <c r="B348" s="7" t="s">
        <v>86</v>
      </c>
      <c r="C348" s="7" t="s">
        <v>46</v>
      </c>
      <c r="D348" s="11" t="s">
        <v>90</v>
      </c>
      <c r="E348" s="11" t="s">
        <v>90</v>
      </c>
      <c r="F348" s="7">
        <v>16</v>
      </c>
      <c r="G348" s="7">
        <v>16</v>
      </c>
      <c r="H348" s="7">
        <f t="shared" si="10"/>
        <v>112</v>
      </c>
      <c r="I348" s="7">
        <f t="shared" si="11"/>
        <v>0.32480000000000003</v>
      </c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1:28" ht="15" thickBot="1" x14ac:dyDescent="0.4">
      <c r="A349" s="5" t="s">
        <v>105</v>
      </c>
      <c r="B349" s="7" t="s">
        <v>86</v>
      </c>
      <c r="C349" s="7" t="s">
        <v>46</v>
      </c>
      <c r="D349" s="11" t="s">
        <v>91</v>
      </c>
      <c r="E349" s="11" t="s">
        <v>91</v>
      </c>
      <c r="F349" s="7">
        <v>5</v>
      </c>
      <c r="G349" s="7">
        <v>5</v>
      </c>
      <c r="H349" s="7">
        <f t="shared" si="10"/>
        <v>35</v>
      </c>
      <c r="I349" s="7">
        <f t="shared" si="11"/>
        <v>0.10150000000000001</v>
      </c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1:28" ht="15" thickBot="1" x14ac:dyDescent="0.4">
      <c r="A350" s="5" t="s">
        <v>105</v>
      </c>
      <c r="B350" s="7" t="s">
        <v>86</v>
      </c>
      <c r="C350" s="7" t="s">
        <v>92</v>
      </c>
      <c r="D350" t="s">
        <v>93</v>
      </c>
      <c r="E350" t="s">
        <v>93</v>
      </c>
      <c r="F350" s="7">
        <v>8</v>
      </c>
      <c r="G350" s="7">
        <v>9</v>
      </c>
      <c r="H350" s="7">
        <f t="shared" si="10"/>
        <v>63</v>
      </c>
      <c r="I350" s="7">
        <f t="shared" si="11"/>
        <v>0.1827</v>
      </c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1:28" ht="15" thickBot="1" x14ac:dyDescent="0.4">
      <c r="A351" s="5" t="s">
        <v>105</v>
      </c>
      <c r="B351" s="7" t="s">
        <v>86</v>
      </c>
      <c r="C351" s="7" t="s">
        <v>92</v>
      </c>
      <c r="D351" t="s">
        <v>94</v>
      </c>
      <c r="E351" t="s">
        <v>94</v>
      </c>
      <c r="F351" s="7">
        <v>3</v>
      </c>
      <c r="G351" s="7">
        <v>3</v>
      </c>
      <c r="H351" s="7">
        <f t="shared" si="10"/>
        <v>21</v>
      </c>
      <c r="I351" s="7">
        <f t="shared" si="11"/>
        <v>6.0899999999999996E-2</v>
      </c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1:28" ht="15" thickBot="1" x14ac:dyDescent="0.4">
      <c r="A352" s="5" t="s">
        <v>106</v>
      </c>
      <c r="B352" s="7" t="s">
        <v>52</v>
      </c>
      <c r="C352" s="7" t="s">
        <v>35</v>
      </c>
      <c r="D352" s="8" t="s">
        <v>47</v>
      </c>
      <c r="E352" t="s">
        <v>3</v>
      </c>
      <c r="F352" s="7">
        <v>50</v>
      </c>
      <c r="G352" s="7">
        <v>50</v>
      </c>
      <c r="H352" s="7">
        <f t="shared" si="10"/>
        <v>350</v>
      </c>
      <c r="I352" s="7">
        <f t="shared" si="11"/>
        <v>1.0149999999999999</v>
      </c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1:28" ht="15" thickBot="1" x14ac:dyDescent="0.4">
      <c r="A353" s="5" t="s">
        <v>106</v>
      </c>
      <c r="B353" s="7" t="s">
        <v>52</v>
      </c>
      <c r="C353" s="7" t="s">
        <v>35</v>
      </c>
      <c r="D353" s="8" t="s">
        <v>48</v>
      </c>
      <c r="E353" t="s">
        <v>7</v>
      </c>
      <c r="F353" s="7">
        <v>5</v>
      </c>
      <c r="G353" s="7">
        <v>6</v>
      </c>
      <c r="H353" s="7">
        <f t="shared" si="10"/>
        <v>42</v>
      </c>
      <c r="I353" s="7">
        <f t="shared" si="11"/>
        <v>0.12179999999999999</v>
      </c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1:28" ht="15" thickBot="1" x14ac:dyDescent="0.4">
      <c r="A354" s="5" t="s">
        <v>106</v>
      </c>
      <c r="B354" s="7" t="s">
        <v>52</v>
      </c>
      <c r="C354" s="7" t="s">
        <v>35</v>
      </c>
      <c r="D354" s="8" t="s">
        <v>49</v>
      </c>
      <c r="E354" t="s">
        <v>4</v>
      </c>
      <c r="F354" s="7">
        <v>30</v>
      </c>
      <c r="G354" s="7">
        <v>30</v>
      </c>
      <c r="H354" s="7">
        <f t="shared" si="10"/>
        <v>210</v>
      </c>
      <c r="I354" s="7">
        <f t="shared" si="11"/>
        <v>0.60899999999999999</v>
      </c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1:28" ht="15" thickBot="1" x14ac:dyDescent="0.4">
      <c r="A355" s="5" t="s">
        <v>106</v>
      </c>
      <c r="B355" s="7" t="s">
        <v>52</v>
      </c>
      <c r="C355" s="7" t="s">
        <v>35</v>
      </c>
      <c r="D355" s="8" t="s">
        <v>50</v>
      </c>
      <c r="E355" t="s">
        <v>6</v>
      </c>
      <c r="F355" s="7">
        <v>20</v>
      </c>
      <c r="G355" s="7">
        <v>20</v>
      </c>
      <c r="H355" s="7">
        <f t="shared" si="10"/>
        <v>140</v>
      </c>
      <c r="I355" s="7">
        <f t="shared" si="11"/>
        <v>0.40600000000000003</v>
      </c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1:28" ht="15" thickBot="1" x14ac:dyDescent="0.4">
      <c r="A356" s="5" t="s">
        <v>106</v>
      </c>
      <c r="B356" s="7" t="s">
        <v>52</v>
      </c>
      <c r="C356" s="7" t="s">
        <v>35</v>
      </c>
      <c r="D356" s="8" t="s">
        <v>51</v>
      </c>
      <c r="E356" t="s">
        <v>5</v>
      </c>
      <c r="F356" s="7">
        <v>5</v>
      </c>
      <c r="G356" s="7">
        <v>5</v>
      </c>
      <c r="H356" s="7">
        <f t="shared" si="10"/>
        <v>35</v>
      </c>
      <c r="I356" s="7">
        <f t="shared" si="11"/>
        <v>0.10150000000000001</v>
      </c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1:28" ht="15" thickBot="1" x14ac:dyDescent="0.4">
      <c r="A357" s="5" t="s">
        <v>106</v>
      </c>
      <c r="B357" s="7" t="s">
        <v>52</v>
      </c>
      <c r="C357" s="7" t="s">
        <v>37</v>
      </c>
      <c r="D357" s="9" t="s">
        <v>114</v>
      </c>
      <c r="E357" t="s">
        <v>8</v>
      </c>
      <c r="F357" s="7">
        <v>160</v>
      </c>
      <c r="G357" s="7">
        <v>186</v>
      </c>
      <c r="H357" s="7">
        <f t="shared" si="10"/>
        <v>1302</v>
      </c>
      <c r="I357" s="7">
        <f t="shared" si="11"/>
        <v>3.7757999999999998</v>
      </c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1:28" ht="15" thickBot="1" x14ac:dyDescent="0.4">
      <c r="A358" s="5" t="s">
        <v>106</v>
      </c>
      <c r="B358" s="7" t="s">
        <v>52</v>
      </c>
      <c r="C358" s="7" t="s">
        <v>37</v>
      </c>
      <c r="D358" s="8" t="s">
        <v>115</v>
      </c>
      <c r="E358" t="s">
        <v>9</v>
      </c>
      <c r="F358" s="7">
        <v>80</v>
      </c>
      <c r="G358" s="7">
        <v>94</v>
      </c>
      <c r="H358" s="7">
        <f t="shared" si="10"/>
        <v>658</v>
      </c>
      <c r="I358" s="7">
        <f t="shared" si="11"/>
        <v>1.9082000000000001</v>
      </c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1:28" ht="15" thickBot="1" x14ac:dyDescent="0.4">
      <c r="A359" s="5" t="s">
        <v>106</v>
      </c>
      <c r="B359" s="7" t="s">
        <v>52</v>
      </c>
      <c r="C359" s="7" t="s">
        <v>37</v>
      </c>
      <c r="D359" s="10" t="s">
        <v>53</v>
      </c>
      <c r="E359" t="s">
        <v>10</v>
      </c>
      <c r="F359" s="7">
        <v>120</v>
      </c>
      <c r="G359" s="7">
        <v>190</v>
      </c>
      <c r="H359" s="7">
        <f t="shared" si="10"/>
        <v>1330</v>
      </c>
      <c r="I359" s="7">
        <f t="shared" si="11"/>
        <v>3.8570000000000002</v>
      </c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1:28" ht="15" thickBot="1" x14ac:dyDescent="0.4">
      <c r="A360" s="5" t="s">
        <v>106</v>
      </c>
      <c r="B360" s="7" t="s">
        <v>52</v>
      </c>
      <c r="C360" s="7" t="s">
        <v>37</v>
      </c>
      <c r="D360" s="10" t="s">
        <v>96</v>
      </c>
      <c r="E360" t="s">
        <v>113</v>
      </c>
      <c r="F360" s="7">
        <v>30</v>
      </c>
      <c r="G360" s="7">
        <v>48</v>
      </c>
      <c r="H360" s="7">
        <f t="shared" si="10"/>
        <v>336</v>
      </c>
      <c r="I360" s="7">
        <f t="shared" si="11"/>
        <v>0.97439999999999993</v>
      </c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1:28" ht="15" thickBot="1" x14ac:dyDescent="0.4">
      <c r="A361" s="5" t="s">
        <v>106</v>
      </c>
      <c r="B361" s="7" t="s">
        <v>52</v>
      </c>
      <c r="C361" s="7" t="s">
        <v>37</v>
      </c>
      <c r="D361" s="10" t="s">
        <v>50</v>
      </c>
      <c r="E361" t="s">
        <v>11</v>
      </c>
      <c r="F361" s="7">
        <v>5</v>
      </c>
      <c r="G361" s="7">
        <v>5</v>
      </c>
      <c r="H361" s="7">
        <f t="shared" si="10"/>
        <v>35</v>
      </c>
      <c r="I361" s="7">
        <f t="shared" si="11"/>
        <v>0.10150000000000001</v>
      </c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1:28" ht="15" thickBot="1" x14ac:dyDescent="0.4">
      <c r="A362" s="5" t="s">
        <v>106</v>
      </c>
      <c r="B362" s="7" t="s">
        <v>54</v>
      </c>
      <c r="C362" s="7" t="s">
        <v>36</v>
      </c>
      <c r="D362" s="8" t="s">
        <v>55</v>
      </c>
      <c r="E362" t="s">
        <v>12</v>
      </c>
      <c r="F362" s="7">
        <v>80</v>
      </c>
      <c r="G362" s="7">
        <v>94</v>
      </c>
      <c r="H362" s="7">
        <f t="shared" si="10"/>
        <v>658</v>
      </c>
      <c r="I362" s="7">
        <f t="shared" si="11"/>
        <v>1.9082000000000001</v>
      </c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1:28" ht="15" thickBot="1" x14ac:dyDescent="0.4">
      <c r="A363" s="5" t="s">
        <v>106</v>
      </c>
      <c r="B363" s="7" t="s">
        <v>54</v>
      </c>
      <c r="C363" s="7" t="s">
        <v>36</v>
      </c>
      <c r="D363" s="8" t="s">
        <v>56</v>
      </c>
      <c r="E363" t="s">
        <v>13</v>
      </c>
      <c r="F363" s="7">
        <v>80</v>
      </c>
      <c r="G363" s="7">
        <v>103</v>
      </c>
      <c r="H363" s="7">
        <f t="shared" si="10"/>
        <v>721</v>
      </c>
      <c r="I363" s="7">
        <f t="shared" si="11"/>
        <v>2.0909</v>
      </c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1:28" ht="15" thickBot="1" x14ac:dyDescent="0.4">
      <c r="A364" s="5" t="s">
        <v>106</v>
      </c>
      <c r="B364" s="7" t="s">
        <v>54</v>
      </c>
      <c r="C364" s="7" t="s">
        <v>36</v>
      </c>
      <c r="D364" s="8" t="s">
        <v>57</v>
      </c>
      <c r="E364" t="s">
        <v>14</v>
      </c>
      <c r="F364" s="7">
        <v>30</v>
      </c>
      <c r="G364" s="7">
        <v>38</v>
      </c>
      <c r="H364" s="7">
        <f t="shared" si="10"/>
        <v>266</v>
      </c>
      <c r="I364" s="7">
        <f t="shared" si="11"/>
        <v>0.77139999999999997</v>
      </c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1:28" ht="15" thickBot="1" x14ac:dyDescent="0.4">
      <c r="A365" s="5" t="s">
        <v>106</v>
      </c>
      <c r="B365" s="7" t="s">
        <v>54</v>
      </c>
      <c r="C365" s="7" t="s">
        <v>38</v>
      </c>
      <c r="D365" s="8" t="s">
        <v>58</v>
      </c>
      <c r="E365" t="s">
        <v>15</v>
      </c>
      <c r="F365" s="7">
        <v>80</v>
      </c>
      <c r="G365" s="7">
        <v>123</v>
      </c>
      <c r="H365" s="7">
        <f t="shared" si="10"/>
        <v>861</v>
      </c>
      <c r="I365" s="7">
        <f t="shared" si="11"/>
        <v>2.4969000000000001</v>
      </c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1:28" ht="15" thickBot="1" x14ac:dyDescent="0.4">
      <c r="A366" s="5" t="s">
        <v>106</v>
      </c>
      <c r="B366" s="7" t="s">
        <v>54</v>
      </c>
      <c r="C366" s="7" t="s">
        <v>38</v>
      </c>
      <c r="D366" s="8" t="s">
        <v>59</v>
      </c>
      <c r="E366" t="s">
        <v>16</v>
      </c>
      <c r="F366" s="7">
        <v>20</v>
      </c>
      <c r="G366" s="7">
        <v>29</v>
      </c>
      <c r="H366" s="7">
        <f t="shared" si="10"/>
        <v>203</v>
      </c>
      <c r="I366" s="7">
        <f t="shared" si="11"/>
        <v>0.58869999999999989</v>
      </c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1:28" ht="15" thickBot="1" x14ac:dyDescent="0.4">
      <c r="A367" s="5" t="s">
        <v>106</v>
      </c>
      <c r="B367" s="7" t="s">
        <v>54</v>
      </c>
      <c r="C367" s="7" t="s">
        <v>38</v>
      </c>
      <c r="D367" s="8" t="s">
        <v>60</v>
      </c>
      <c r="E367" t="s">
        <v>17</v>
      </c>
      <c r="F367" s="7">
        <v>80</v>
      </c>
      <c r="G367" s="7">
        <v>123</v>
      </c>
      <c r="H367" s="7">
        <f t="shared" si="10"/>
        <v>861</v>
      </c>
      <c r="I367" s="7">
        <f t="shared" si="11"/>
        <v>2.4969000000000001</v>
      </c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1:28" ht="15" thickBot="1" x14ac:dyDescent="0.4">
      <c r="A368" s="5" t="s">
        <v>106</v>
      </c>
      <c r="B368" s="7" t="s">
        <v>39</v>
      </c>
      <c r="C368" s="7" t="s">
        <v>61</v>
      </c>
      <c r="D368" s="11" t="s">
        <v>97</v>
      </c>
      <c r="E368" t="s">
        <v>18</v>
      </c>
      <c r="F368" s="7">
        <v>60</v>
      </c>
      <c r="G368" s="7">
        <v>60</v>
      </c>
      <c r="H368" s="7">
        <f t="shared" si="10"/>
        <v>420</v>
      </c>
      <c r="I368" s="7">
        <f t="shared" si="11"/>
        <v>1.218</v>
      </c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1:28" ht="15" thickBot="1" x14ac:dyDescent="0.4">
      <c r="A369" s="5" t="s">
        <v>106</v>
      </c>
      <c r="B369" s="7" t="s">
        <v>39</v>
      </c>
      <c r="C369" s="7" t="s">
        <v>61</v>
      </c>
      <c r="D369" s="11" t="s">
        <v>62</v>
      </c>
      <c r="E369" t="s">
        <v>19</v>
      </c>
      <c r="F369" s="7">
        <v>0</v>
      </c>
      <c r="G369" s="7">
        <v>0</v>
      </c>
      <c r="H369" s="7">
        <f t="shared" si="10"/>
        <v>0</v>
      </c>
      <c r="I369" s="7">
        <f t="shared" si="11"/>
        <v>0</v>
      </c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1:28" ht="15" thickBot="1" x14ac:dyDescent="0.4">
      <c r="A370" s="5" t="s">
        <v>106</v>
      </c>
      <c r="B370" s="7" t="s">
        <v>39</v>
      </c>
      <c r="C370" s="7" t="s">
        <v>61</v>
      </c>
      <c r="D370" s="11" t="s">
        <v>98</v>
      </c>
      <c r="E370" t="s">
        <v>20</v>
      </c>
      <c r="F370" s="7">
        <v>0</v>
      </c>
      <c r="G370" s="7">
        <v>0</v>
      </c>
      <c r="H370" s="7">
        <f t="shared" si="10"/>
        <v>0</v>
      </c>
      <c r="I370" s="7">
        <f t="shared" si="11"/>
        <v>0</v>
      </c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1:28" ht="15" thickBot="1" x14ac:dyDescent="0.4">
      <c r="A371" s="5" t="s">
        <v>106</v>
      </c>
      <c r="B371" s="7" t="s">
        <v>39</v>
      </c>
      <c r="C371" s="7" t="s">
        <v>61</v>
      </c>
      <c r="D371" s="11" t="s">
        <v>63</v>
      </c>
      <c r="E371" t="s">
        <v>21</v>
      </c>
      <c r="F371" s="7">
        <v>10</v>
      </c>
      <c r="G371" s="7">
        <v>10</v>
      </c>
      <c r="H371" s="7">
        <f t="shared" si="10"/>
        <v>70</v>
      </c>
      <c r="I371" s="7">
        <f t="shared" si="11"/>
        <v>0.20300000000000001</v>
      </c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1:28" ht="15" thickBot="1" x14ac:dyDescent="0.4">
      <c r="A372" s="5" t="s">
        <v>106</v>
      </c>
      <c r="B372" s="7" t="s">
        <v>39</v>
      </c>
      <c r="C372" s="7" t="s">
        <v>64</v>
      </c>
      <c r="D372" s="11" t="s">
        <v>65</v>
      </c>
      <c r="E372" t="s">
        <v>20</v>
      </c>
      <c r="F372" s="7">
        <v>0</v>
      </c>
      <c r="G372" s="7">
        <v>0</v>
      </c>
      <c r="H372" s="7">
        <f t="shared" si="10"/>
        <v>0</v>
      </c>
      <c r="I372" s="7">
        <f t="shared" si="11"/>
        <v>0</v>
      </c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1:28" ht="15" thickBot="1" x14ac:dyDescent="0.4">
      <c r="A373" s="5" t="s">
        <v>106</v>
      </c>
      <c r="B373" s="7" t="s">
        <v>39</v>
      </c>
      <c r="C373" s="7" t="s">
        <v>64</v>
      </c>
      <c r="D373" s="11" t="s">
        <v>66</v>
      </c>
      <c r="E373" t="s">
        <v>20</v>
      </c>
      <c r="F373" s="7">
        <v>0</v>
      </c>
      <c r="G373" s="7">
        <v>0</v>
      </c>
      <c r="H373" s="7">
        <f t="shared" si="10"/>
        <v>0</v>
      </c>
      <c r="I373" s="7">
        <f t="shared" si="11"/>
        <v>0</v>
      </c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1:28" ht="15" thickBot="1" x14ac:dyDescent="0.4">
      <c r="A374" s="5" t="s">
        <v>106</v>
      </c>
      <c r="B374" s="7" t="s">
        <v>39</v>
      </c>
      <c r="C374" s="7" t="s">
        <v>64</v>
      </c>
      <c r="D374" s="11" t="s">
        <v>67</v>
      </c>
      <c r="E374" t="s">
        <v>22</v>
      </c>
      <c r="F374" s="7">
        <v>30</v>
      </c>
      <c r="G374" s="7">
        <v>30</v>
      </c>
      <c r="H374" s="7">
        <f t="shared" si="10"/>
        <v>210</v>
      </c>
      <c r="I374" s="7">
        <f t="shared" si="11"/>
        <v>0.60899999999999999</v>
      </c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1:28" ht="15" thickBot="1" x14ac:dyDescent="0.4">
      <c r="A375" s="5" t="s">
        <v>106</v>
      </c>
      <c r="B375" s="7" t="s">
        <v>68</v>
      </c>
      <c r="C375" s="7" t="s">
        <v>69</v>
      </c>
      <c r="D375" s="11" t="s">
        <v>70</v>
      </c>
      <c r="E375" t="s">
        <v>116</v>
      </c>
      <c r="F375" s="7">
        <v>0</v>
      </c>
      <c r="G375" s="7">
        <v>0</v>
      </c>
      <c r="H375" s="7">
        <f t="shared" si="10"/>
        <v>0</v>
      </c>
      <c r="I375" s="7">
        <f t="shared" si="11"/>
        <v>0</v>
      </c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1:28" ht="15" thickBot="1" x14ac:dyDescent="0.4">
      <c r="A376" s="5" t="s">
        <v>106</v>
      </c>
      <c r="B376" s="7" t="s">
        <v>68</v>
      </c>
      <c r="C376" s="7" t="s">
        <v>69</v>
      </c>
      <c r="D376" s="11" t="s">
        <v>71</v>
      </c>
      <c r="E376" t="s">
        <v>117</v>
      </c>
      <c r="F376" s="7">
        <v>12</v>
      </c>
      <c r="G376" s="7">
        <v>15</v>
      </c>
      <c r="H376" s="7">
        <f t="shared" si="10"/>
        <v>105</v>
      </c>
      <c r="I376" s="7">
        <f t="shared" si="11"/>
        <v>0.30449999999999999</v>
      </c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1:28" ht="15" thickBot="1" x14ac:dyDescent="0.4">
      <c r="A377" s="5" t="s">
        <v>106</v>
      </c>
      <c r="B377" s="7" t="s">
        <v>68</v>
      </c>
      <c r="C377" s="7" t="s">
        <v>69</v>
      </c>
      <c r="D377" s="11" t="s">
        <v>72</v>
      </c>
      <c r="E377" t="s">
        <v>118</v>
      </c>
      <c r="F377" s="7">
        <v>0</v>
      </c>
      <c r="G377" s="7">
        <v>0</v>
      </c>
      <c r="H377" s="7">
        <f t="shared" si="10"/>
        <v>0</v>
      </c>
      <c r="I377" s="7">
        <f t="shared" si="11"/>
        <v>0</v>
      </c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1:28" ht="15" thickBot="1" x14ac:dyDescent="0.4">
      <c r="A378" s="5" t="s">
        <v>106</v>
      </c>
      <c r="B378" s="7" t="s">
        <v>68</v>
      </c>
      <c r="C378" s="7" t="s">
        <v>69</v>
      </c>
      <c r="D378" s="11" t="s">
        <v>73</v>
      </c>
      <c r="E378" t="s">
        <v>119</v>
      </c>
      <c r="F378" s="7">
        <v>0</v>
      </c>
      <c r="G378" s="7">
        <v>0</v>
      </c>
      <c r="H378" s="7">
        <f t="shared" si="10"/>
        <v>0</v>
      </c>
      <c r="I378" s="7">
        <f t="shared" si="11"/>
        <v>0</v>
      </c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1:28" ht="15" thickBot="1" x14ac:dyDescent="0.4">
      <c r="A379" s="5" t="s">
        <v>106</v>
      </c>
      <c r="B379" s="7" t="s">
        <v>68</v>
      </c>
      <c r="C379" s="7" t="s">
        <v>40</v>
      </c>
      <c r="D379" s="11" t="s">
        <v>74</v>
      </c>
      <c r="E379" t="s">
        <v>120</v>
      </c>
      <c r="F379" s="7">
        <v>5</v>
      </c>
      <c r="G379" s="7">
        <v>8</v>
      </c>
      <c r="H379" s="7">
        <f t="shared" si="10"/>
        <v>56</v>
      </c>
      <c r="I379" s="7">
        <f t="shared" si="11"/>
        <v>0.16240000000000002</v>
      </c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1:28" ht="15" thickBot="1" x14ac:dyDescent="0.4">
      <c r="A380" s="5" t="s">
        <v>106</v>
      </c>
      <c r="B380" s="7" t="s">
        <v>68</v>
      </c>
      <c r="C380" s="7" t="s">
        <v>40</v>
      </c>
      <c r="D380" s="11" t="s">
        <v>75</v>
      </c>
      <c r="E380" s="11" t="s">
        <v>121</v>
      </c>
      <c r="F380" s="7">
        <v>3</v>
      </c>
      <c r="G380" s="7">
        <v>4</v>
      </c>
      <c r="H380" s="7">
        <f t="shared" si="10"/>
        <v>28</v>
      </c>
      <c r="I380" s="7">
        <f t="shared" si="11"/>
        <v>8.1200000000000008E-2</v>
      </c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1:28" ht="15" thickBot="1" x14ac:dyDescent="0.4">
      <c r="A381" s="5" t="s">
        <v>106</v>
      </c>
      <c r="B381" s="7" t="s">
        <v>68</v>
      </c>
      <c r="C381" s="7" t="s">
        <v>40</v>
      </c>
      <c r="D381" s="11" t="s">
        <v>76</v>
      </c>
      <c r="E381" s="11" t="s">
        <v>122</v>
      </c>
      <c r="F381" s="7">
        <v>0</v>
      </c>
      <c r="G381" s="7">
        <v>0</v>
      </c>
      <c r="H381" s="7">
        <f t="shared" si="10"/>
        <v>0</v>
      </c>
      <c r="I381" s="7">
        <f t="shared" si="11"/>
        <v>0</v>
      </c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1:28" ht="15" thickBot="1" x14ac:dyDescent="0.4">
      <c r="A382" s="5" t="s">
        <v>106</v>
      </c>
      <c r="B382" s="7" t="s">
        <v>68</v>
      </c>
      <c r="C382" s="7" t="s">
        <v>41</v>
      </c>
      <c r="D382" s="11" t="s">
        <v>77</v>
      </c>
      <c r="E382" t="s">
        <v>23</v>
      </c>
      <c r="F382" s="7">
        <v>70</v>
      </c>
      <c r="G382" s="7">
        <v>82</v>
      </c>
      <c r="H382" s="7">
        <f t="shared" si="10"/>
        <v>574</v>
      </c>
      <c r="I382" s="7">
        <f t="shared" si="11"/>
        <v>1.6645999999999999</v>
      </c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1:28" ht="15" thickBot="1" x14ac:dyDescent="0.4">
      <c r="A383" s="5" t="s">
        <v>106</v>
      </c>
      <c r="B383" s="7" t="s">
        <v>68</v>
      </c>
      <c r="C383" s="7" t="s">
        <v>41</v>
      </c>
      <c r="D383" s="11" t="s">
        <v>78</v>
      </c>
      <c r="E383" t="s">
        <v>24</v>
      </c>
      <c r="F383" s="7">
        <v>25</v>
      </c>
      <c r="G383" s="7">
        <v>25</v>
      </c>
      <c r="H383" s="7">
        <f t="shared" si="10"/>
        <v>175</v>
      </c>
      <c r="I383" s="7">
        <f t="shared" si="11"/>
        <v>0.50749999999999995</v>
      </c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1:28" ht="15" thickBot="1" x14ac:dyDescent="0.4">
      <c r="A384" s="5" t="s">
        <v>106</v>
      </c>
      <c r="B384" s="7" t="s">
        <v>68</v>
      </c>
      <c r="C384" s="7" t="s">
        <v>42</v>
      </c>
      <c r="D384" s="6" t="s">
        <v>71</v>
      </c>
      <c r="E384" t="s">
        <v>123</v>
      </c>
      <c r="F384" s="7">
        <v>4</v>
      </c>
      <c r="G384" s="7">
        <v>5</v>
      </c>
      <c r="H384" s="7">
        <f t="shared" si="10"/>
        <v>35</v>
      </c>
      <c r="I384" s="7">
        <f t="shared" si="11"/>
        <v>0.10150000000000001</v>
      </c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1:28" ht="15" thickBot="1" x14ac:dyDescent="0.4">
      <c r="A385" s="5" t="s">
        <v>106</v>
      </c>
      <c r="B385" s="7" t="s">
        <v>68</v>
      </c>
      <c r="C385" s="7" t="s">
        <v>42</v>
      </c>
      <c r="D385" s="6" t="s">
        <v>73</v>
      </c>
      <c r="E385" t="s">
        <v>124</v>
      </c>
      <c r="F385" s="7">
        <v>0</v>
      </c>
      <c r="G385" s="7">
        <v>0</v>
      </c>
      <c r="H385" s="7">
        <f t="shared" si="10"/>
        <v>0</v>
      </c>
      <c r="I385" s="7">
        <f t="shared" si="11"/>
        <v>0</v>
      </c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1:28" ht="15" thickBot="1" x14ac:dyDescent="0.4">
      <c r="A386" s="5" t="s">
        <v>106</v>
      </c>
      <c r="B386" s="7" t="s">
        <v>68</v>
      </c>
      <c r="C386" s="7" t="s">
        <v>42</v>
      </c>
      <c r="D386" s="6" t="s">
        <v>74</v>
      </c>
      <c r="E386" t="s">
        <v>125</v>
      </c>
      <c r="F386" s="7">
        <v>3</v>
      </c>
      <c r="G386" s="7">
        <v>3</v>
      </c>
      <c r="H386" s="7">
        <f t="shared" si="10"/>
        <v>21</v>
      </c>
      <c r="I386" s="7">
        <f t="shared" si="11"/>
        <v>6.0899999999999996E-2</v>
      </c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1:28" ht="15" thickBot="1" x14ac:dyDescent="0.4">
      <c r="A387" s="5" t="s">
        <v>106</v>
      </c>
      <c r="B387" s="7" t="s">
        <v>68</v>
      </c>
      <c r="C387" s="7" t="s">
        <v>42</v>
      </c>
      <c r="D387" s="6" t="s">
        <v>76</v>
      </c>
      <c r="E387" t="s">
        <v>126</v>
      </c>
      <c r="F387" s="7">
        <v>0</v>
      </c>
      <c r="G387" s="7">
        <v>0</v>
      </c>
      <c r="H387" s="7">
        <f t="shared" ref="H387:H450" si="12">G387*7</f>
        <v>0</v>
      </c>
      <c r="I387" s="7">
        <f t="shared" ref="I387:I450" si="13">H387*2.9/(1000)</f>
        <v>0</v>
      </c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1:28" ht="15" thickBot="1" x14ac:dyDescent="0.4">
      <c r="A388" s="5" t="s">
        <v>106</v>
      </c>
      <c r="B388" s="7" t="s">
        <v>68</v>
      </c>
      <c r="C388" s="7" t="s">
        <v>79</v>
      </c>
      <c r="D388" s="11" t="s">
        <v>79</v>
      </c>
      <c r="E388" t="s">
        <v>25</v>
      </c>
      <c r="F388" s="7">
        <v>25</v>
      </c>
      <c r="G388" s="7">
        <v>28</v>
      </c>
      <c r="H388" s="7">
        <f t="shared" si="12"/>
        <v>196</v>
      </c>
      <c r="I388" s="7">
        <f t="shared" si="13"/>
        <v>0.56840000000000002</v>
      </c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1:28" ht="15" thickBot="1" x14ac:dyDescent="0.4">
      <c r="A389" s="5" t="s">
        <v>106</v>
      </c>
      <c r="B389" s="7" t="s">
        <v>80</v>
      </c>
      <c r="C389" s="7" t="s">
        <v>43</v>
      </c>
      <c r="D389" s="11" t="s">
        <v>43</v>
      </c>
      <c r="E389" t="s">
        <v>26</v>
      </c>
      <c r="F389" s="7">
        <v>60</v>
      </c>
      <c r="G389" s="7">
        <v>60</v>
      </c>
      <c r="H389" s="7">
        <f t="shared" si="12"/>
        <v>420</v>
      </c>
      <c r="I389" s="7">
        <f t="shared" si="13"/>
        <v>1.218</v>
      </c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1:28" ht="15" thickBot="1" x14ac:dyDescent="0.4">
      <c r="A390" s="5" t="s">
        <v>106</v>
      </c>
      <c r="B390" s="7" t="s">
        <v>80</v>
      </c>
      <c r="C390" s="7" t="s">
        <v>43</v>
      </c>
      <c r="D390" s="11" t="s">
        <v>81</v>
      </c>
      <c r="E390" t="s">
        <v>27</v>
      </c>
      <c r="F390" s="7">
        <v>0</v>
      </c>
      <c r="G390" s="7">
        <v>0</v>
      </c>
      <c r="H390" s="7">
        <f t="shared" si="12"/>
        <v>0</v>
      </c>
      <c r="I390" s="7">
        <f t="shared" si="13"/>
        <v>0</v>
      </c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1:28" ht="15" thickBot="1" x14ac:dyDescent="0.4">
      <c r="A391" s="5" t="s">
        <v>106</v>
      </c>
      <c r="B391" s="7" t="s">
        <v>80</v>
      </c>
      <c r="C391" s="7" t="s">
        <v>44</v>
      </c>
      <c r="D391" s="11" t="s">
        <v>82</v>
      </c>
      <c r="E391" t="s">
        <v>127</v>
      </c>
      <c r="F391" s="7">
        <v>25</v>
      </c>
      <c r="G391" s="7">
        <v>31</v>
      </c>
      <c r="H391" s="7">
        <f t="shared" si="12"/>
        <v>217</v>
      </c>
      <c r="I391" s="7">
        <f t="shared" si="13"/>
        <v>0.62929999999999997</v>
      </c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1:28" ht="15" thickBot="1" x14ac:dyDescent="0.4">
      <c r="A392" s="5" t="s">
        <v>106</v>
      </c>
      <c r="B392" s="7" t="s">
        <v>80</v>
      </c>
      <c r="C392" s="7" t="s">
        <v>44</v>
      </c>
      <c r="D392" s="11" t="s">
        <v>83</v>
      </c>
      <c r="E392" t="s">
        <v>28</v>
      </c>
      <c r="F392" s="7">
        <v>25</v>
      </c>
      <c r="G392" s="7">
        <v>30</v>
      </c>
      <c r="H392" s="7">
        <f t="shared" si="12"/>
        <v>210</v>
      </c>
      <c r="I392" s="7">
        <f t="shared" si="13"/>
        <v>0.60899999999999999</v>
      </c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1:28" ht="15" thickBot="1" x14ac:dyDescent="0.4">
      <c r="A393" s="5" t="s">
        <v>106</v>
      </c>
      <c r="B393" s="7" t="s">
        <v>45</v>
      </c>
      <c r="C393" s="7" t="s">
        <v>84</v>
      </c>
      <c r="D393" t="s">
        <v>84</v>
      </c>
      <c r="E393" t="s">
        <v>30</v>
      </c>
      <c r="F393" s="7">
        <v>15</v>
      </c>
      <c r="G393" s="7">
        <v>15</v>
      </c>
      <c r="H393" s="7">
        <f t="shared" si="12"/>
        <v>105</v>
      </c>
      <c r="I393" s="7">
        <f t="shared" si="13"/>
        <v>0.30449999999999999</v>
      </c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1:28" ht="15" thickBot="1" x14ac:dyDescent="0.4">
      <c r="A394" s="5" t="s">
        <v>106</v>
      </c>
      <c r="B394" s="7" t="s">
        <v>45</v>
      </c>
      <c r="C394" s="7" t="s">
        <v>85</v>
      </c>
      <c r="D394" t="s">
        <v>85</v>
      </c>
      <c r="E394" t="s">
        <v>31</v>
      </c>
      <c r="F394" s="7">
        <v>4</v>
      </c>
      <c r="G394" s="7">
        <v>4</v>
      </c>
      <c r="H394" s="7">
        <f t="shared" si="12"/>
        <v>28</v>
      </c>
      <c r="I394" s="7">
        <f t="shared" si="13"/>
        <v>8.1200000000000008E-2</v>
      </c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1:28" ht="15" thickBot="1" x14ac:dyDescent="0.4">
      <c r="A395" s="5" t="s">
        <v>106</v>
      </c>
      <c r="B395" s="7" t="s">
        <v>86</v>
      </c>
      <c r="C395" s="7" t="s">
        <v>87</v>
      </c>
      <c r="D395" s="11" t="s">
        <v>87</v>
      </c>
      <c r="E395" t="s">
        <v>29</v>
      </c>
      <c r="F395" s="7">
        <v>46</v>
      </c>
      <c r="G395" s="7">
        <v>46</v>
      </c>
      <c r="H395" s="7">
        <f t="shared" si="12"/>
        <v>322</v>
      </c>
      <c r="I395" s="7">
        <f t="shared" si="13"/>
        <v>0.93379999999999996</v>
      </c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1:28" ht="15" thickBot="1" x14ac:dyDescent="0.4">
      <c r="A396" s="5" t="s">
        <v>106</v>
      </c>
      <c r="B396" s="7" t="s">
        <v>86</v>
      </c>
      <c r="C396" s="7" t="s">
        <v>46</v>
      </c>
      <c r="D396" s="11" t="s">
        <v>88</v>
      </c>
      <c r="E396" s="11" t="s">
        <v>88</v>
      </c>
      <c r="F396" s="7">
        <v>5</v>
      </c>
      <c r="G396" s="7">
        <v>5</v>
      </c>
      <c r="H396" s="7">
        <f t="shared" si="12"/>
        <v>35</v>
      </c>
      <c r="I396" s="7">
        <f t="shared" si="13"/>
        <v>0.10150000000000001</v>
      </c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1:28" ht="15" thickBot="1" x14ac:dyDescent="0.4">
      <c r="A397" s="5" t="s">
        <v>106</v>
      </c>
      <c r="B397" s="7" t="s">
        <v>86</v>
      </c>
      <c r="C397" s="7" t="s">
        <v>46</v>
      </c>
      <c r="D397" s="11" t="s">
        <v>89</v>
      </c>
      <c r="E397" s="11" t="s">
        <v>89</v>
      </c>
      <c r="F397" s="7">
        <v>0</v>
      </c>
      <c r="G397" s="7">
        <v>0</v>
      </c>
      <c r="H397" s="7">
        <f t="shared" si="12"/>
        <v>0</v>
      </c>
      <c r="I397" s="7">
        <f t="shared" si="13"/>
        <v>0</v>
      </c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1:28" ht="15" thickBot="1" x14ac:dyDescent="0.4">
      <c r="A398" s="5" t="s">
        <v>106</v>
      </c>
      <c r="B398" s="7" t="s">
        <v>86</v>
      </c>
      <c r="C398" s="7" t="s">
        <v>46</v>
      </c>
      <c r="D398" s="11" t="s">
        <v>90</v>
      </c>
      <c r="E398" s="11" t="s">
        <v>90</v>
      </c>
      <c r="F398" s="7">
        <v>5</v>
      </c>
      <c r="G398" s="7">
        <v>5</v>
      </c>
      <c r="H398" s="7">
        <f t="shared" si="12"/>
        <v>35</v>
      </c>
      <c r="I398" s="7">
        <f t="shared" si="13"/>
        <v>0.10150000000000001</v>
      </c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1:28" ht="15" thickBot="1" x14ac:dyDescent="0.4">
      <c r="A399" s="5" t="s">
        <v>106</v>
      </c>
      <c r="B399" s="7" t="s">
        <v>86</v>
      </c>
      <c r="C399" s="7" t="s">
        <v>46</v>
      </c>
      <c r="D399" s="11" t="s">
        <v>91</v>
      </c>
      <c r="E399" s="11" t="s">
        <v>91</v>
      </c>
      <c r="F399" s="7">
        <v>5</v>
      </c>
      <c r="G399" s="7">
        <v>5</v>
      </c>
      <c r="H399" s="7">
        <f t="shared" si="12"/>
        <v>35</v>
      </c>
      <c r="I399" s="7">
        <f t="shared" si="13"/>
        <v>0.10150000000000001</v>
      </c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1:28" ht="15" thickBot="1" x14ac:dyDescent="0.4">
      <c r="A400" s="5" t="s">
        <v>106</v>
      </c>
      <c r="B400" s="7" t="s">
        <v>86</v>
      </c>
      <c r="C400" s="7" t="s">
        <v>92</v>
      </c>
      <c r="D400" t="s">
        <v>93</v>
      </c>
      <c r="E400" t="s">
        <v>93</v>
      </c>
      <c r="F400" s="7">
        <v>8</v>
      </c>
      <c r="G400" s="7">
        <v>9</v>
      </c>
      <c r="H400" s="7">
        <f t="shared" si="12"/>
        <v>63</v>
      </c>
      <c r="I400" s="7">
        <f t="shared" si="13"/>
        <v>0.1827</v>
      </c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1:28" ht="15" thickBot="1" x14ac:dyDescent="0.4">
      <c r="A401" s="5" t="s">
        <v>106</v>
      </c>
      <c r="B401" s="7" t="s">
        <v>86</v>
      </c>
      <c r="C401" s="7" t="s">
        <v>92</v>
      </c>
      <c r="D401" t="s">
        <v>94</v>
      </c>
      <c r="E401" t="s">
        <v>94</v>
      </c>
      <c r="F401" s="7">
        <v>3</v>
      </c>
      <c r="G401" s="7">
        <v>3</v>
      </c>
      <c r="H401" s="7">
        <f t="shared" si="12"/>
        <v>21</v>
      </c>
      <c r="I401" s="7">
        <f t="shared" si="13"/>
        <v>6.0899999999999996E-2</v>
      </c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1:28" ht="15" thickBot="1" x14ac:dyDescent="0.4">
      <c r="A402" s="5" t="s">
        <v>107</v>
      </c>
      <c r="B402" s="7" t="s">
        <v>52</v>
      </c>
      <c r="C402" s="7" t="s">
        <v>35</v>
      </c>
      <c r="D402" s="8" t="s">
        <v>47</v>
      </c>
      <c r="E402" t="s">
        <v>3</v>
      </c>
      <c r="F402" s="7">
        <v>40</v>
      </c>
      <c r="G402" s="7">
        <v>40</v>
      </c>
      <c r="H402" s="7">
        <f t="shared" si="12"/>
        <v>280</v>
      </c>
      <c r="I402" s="7">
        <f t="shared" si="13"/>
        <v>0.81200000000000006</v>
      </c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1:28" ht="15" thickBot="1" x14ac:dyDescent="0.4">
      <c r="A403" s="5" t="s">
        <v>107</v>
      </c>
      <c r="B403" s="7" t="s">
        <v>52</v>
      </c>
      <c r="C403" s="7" t="s">
        <v>35</v>
      </c>
      <c r="D403" s="8" t="s">
        <v>48</v>
      </c>
      <c r="E403" t="s">
        <v>7</v>
      </c>
      <c r="F403" s="7">
        <v>0</v>
      </c>
      <c r="G403" s="7">
        <v>0</v>
      </c>
      <c r="H403" s="7">
        <f t="shared" si="12"/>
        <v>0</v>
      </c>
      <c r="I403" s="7">
        <f t="shared" si="13"/>
        <v>0</v>
      </c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1:28" ht="15" thickBot="1" x14ac:dyDescent="0.4">
      <c r="A404" s="5" t="s">
        <v>107</v>
      </c>
      <c r="B404" s="7" t="s">
        <v>52</v>
      </c>
      <c r="C404" s="7" t="s">
        <v>35</v>
      </c>
      <c r="D404" s="8" t="s">
        <v>49</v>
      </c>
      <c r="E404" t="s">
        <v>4</v>
      </c>
      <c r="F404" s="7">
        <v>20</v>
      </c>
      <c r="G404" s="7">
        <v>20</v>
      </c>
      <c r="H404" s="7">
        <f t="shared" si="12"/>
        <v>140</v>
      </c>
      <c r="I404" s="7">
        <f t="shared" si="13"/>
        <v>0.40600000000000003</v>
      </c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1:28" ht="15" thickBot="1" x14ac:dyDescent="0.4">
      <c r="A405" s="5" t="s">
        <v>107</v>
      </c>
      <c r="B405" s="7" t="s">
        <v>52</v>
      </c>
      <c r="C405" s="7" t="s">
        <v>35</v>
      </c>
      <c r="D405" s="8" t="s">
        <v>50</v>
      </c>
      <c r="E405" t="s">
        <v>6</v>
      </c>
      <c r="F405" s="7">
        <v>10</v>
      </c>
      <c r="G405" s="7">
        <v>10</v>
      </c>
      <c r="H405" s="7">
        <f t="shared" si="12"/>
        <v>70</v>
      </c>
      <c r="I405" s="7">
        <f t="shared" si="13"/>
        <v>0.20300000000000001</v>
      </c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1:28" ht="15" thickBot="1" x14ac:dyDescent="0.4">
      <c r="A406" s="5" t="s">
        <v>107</v>
      </c>
      <c r="B406" s="7" t="s">
        <v>52</v>
      </c>
      <c r="C406" s="7" t="s">
        <v>35</v>
      </c>
      <c r="D406" s="8" t="s">
        <v>51</v>
      </c>
      <c r="E406" t="s">
        <v>5</v>
      </c>
      <c r="F406" s="7">
        <v>5</v>
      </c>
      <c r="G406" s="7">
        <v>5</v>
      </c>
      <c r="H406" s="7">
        <f t="shared" si="12"/>
        <v>35</v>
      </c>
      <c r="I406" s="7">
        <f t="shared" si="13"/>
        <v>0.10150000000000001</v>
      </c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1:28" ht="15" thickBot="1" x14ac:dyDescent="0.4">
      <c r="A407" s="5" t="s">
        <v>107</v>
      </c>
      <c r="B407" s="7" t="s">
        <v>52</v>
      </c>
      <c r="C407" s="7" t="s">
        <v>37</v>
      </c>
      <c r="D407" s="9" t="s">
        <v>114</v>
      </c>
      <c r="E407" t="s">
        <v>8</v>
      </c>
      <c r="F407" s="7">
        <v>160</v>
      </c>
      <c r="G407" s="7">
        <v>186</v>
      </c>
      <c r="H407" s="7">
        <f t="shared" si="12"/>
        <v>1302</v>
      </c>
      <c r="I407" s="7">
        <f t="shared" si="13"/>
        <v>3.7757999999999998</v>
      </c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1:28" ht="15" thickBot="1" x14ac:dyDescent="0.4">
      <c r="A408" s="5" t="s">
        <v>107</v>
      </c>
      <c r="B408" s="7" t="s">
        <v>52</v>
      </c>
      <c r="C408" s="7" t="s">
        <v>37</v>
      </c>
      <c r="D408" s="8" t="s">
        <v>115</v>
      </c>
      <c r="E408" t="s">
        <v>9</v>
      </c>
      <c r="F408" s="7">
        <v>80</v>
      </c>
      <c r="G408" s="7">
        <v>94</v>
      </c>
      <c r="H408" s="7">
        <f t="shared" si="12"/>
        <v>658</v>
      </c>
      <c r="I408" s="7">
        <f t="shared" si="13"/>
        <v>1.9082000000000001</v>
      </c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1:28" ht="15" thickBot="1" x14ac:dyDescent="0.4">
      <c r="A409" s="5" t="s">
        <v>107</v>
      </c>
      <c r="B409" s="7" t="s">
        <v>52</v>
      </c>
      <c r="C409" s="7" t="s">
        <v>37</v>
      </c>
      <c r="D409" s="10" t="s">
        <v>53</v>
      </c>
      <c r="E409" t="s">
        <v>10</v>
      </c>
      <c r="F409" s="7">
        <v>160</v>
      </c>
      <c r="G409" s="7">
        <v>254</v>
      </c>
      <c r="H409" s="7">
        <f t="shared" si="12"/>
        <v>1778</v>
      </c>
      <c r="I409" s="7">
        <f t="shared" si="13"/>
        <v>5.1562000000000001</v>
      </c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1:28" ht="15" thickBot="1" x14ac:dyDescent="0.4">
      <c r="A410" s="5" t="s">
        <v>107</v>
      </c>
      <c r="B410" s="7" t="s">
        <v>52</v>
      </c>
      <c r="C410" s="7" t="s">
        <v>37</v>
      </c>
      <c r="D410" s="10" t="s">
        <v>96</v>
      </c>
      <c r="E410" t="s">
        <v>113</v>
      </c>
      <c r="F410" s="7">
        <v>30</v>
      </c>
      <c r="G410" s="7">
        <v>48</v>
      </c>
      <c r="H410" s="7">
        <f t="shared" si="12"/>
        <v>336</v>
      </c>
      <c r="I410" s="7">
        <f t="shared" si="13"/>
        <v>0.97439999999999993</v>
      </c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1:28" ht="15" thickBot="1" x14ac:dyDescent="0.4">
      <c r="A411" s="5" t="s">
        <v>107</v>
      </c>
      <c r="B411" s="7" t="s">
        <v>52</v>
      </c>
      <c r="C411" s="7" t="s">
        <v>37</v>
      </c>
      <c r="D411" s="10" t="s">
        <v>50</v>
      </c>
      <c r="E411" t="s">
        <v>11</v>
      </c>
      <c r="F411" s="7">
        <v>10</v>
      </c>
      <c r="G411" s="7">
        <v>10</v>
      </c>
      <c r="H411" s="7">
        <f t="shared" si="12"/>
        <v>70</v>
      </c>
      <c r="I411" s="7">
        <f t="shared" si="13"/>
        <v>0.20300000000000001</v>
      </c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1:28" ht="15" thickBot="1" x14ac:dyDescent="0.4">
      <c r="A412" s="5" t="s">
        <v>107</v>
      </c>
      <c r="B412" s="7" t="s">
        <v>54</v>
      </c>
      <c r="C412" s="7" t="s">
        <v>36</v>
      </c>
      <c r="D412" s="8" t="s">
        <v>55</v>
      </c>
      <c r="E412" t="s">
        <v>12</v>
      </c>
      <c r="F412" s="7">
        <v>80</v>
      </c>
      <c r="G412" s="7">
        <v>94</v>
      </c>
      <c r="H412" s="7">
        <f t="shared" si="12"/>
        <v>658</v>
      </c>
      <c r="I412" s="7">
        <f t="shared" si="13"/>
        <v>1.9082000000000001</v>
      </c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1:28" ht="15" thickBot="1" x14ac:dyDescent="0.4">
      <c r="A413" s="5" t="s">
        <v>107</v>
      </c>
      <c r="B413" s="7" t="s">
        <v>54</v>
      </c>
      <c r="C413" s="7" t="s">
        <v>36</v>
      </c>
      <c r="D413" s="8" t="s">
        <v>56</v>
      </c>
      <c r="E413" t="s">
        <v>13</v>
      </c>
      <c r="F413" s="7">
        <v>80</v>
      </c>
      <c r="G413" s="7">
        <v>103</v>
      </c>
      <c r="H413" s="7">
        <f t="shared" si="12"/>
        <v>721</v>
      </c>
      <c r="I413" s="7">
        <f t="shared" si="13"/>
        <v>2.0909</v>
      </c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1:28" ht="15" thickBot="1" x14ac:dyDescent="0.4">
      <c r="A414" s="5" t="s">
        <v>107</v>
      </c>
      <c r="B414" s="7" t="s">
        <v>54</v>
      </c>
      <c r="C414" s="7" t="s">
        <v>36</v>
      </c>
      <c r="D414" s="8" t="s">
        <v>57</v>
      </c>
      <c r="E414" t="s">
        <v>14</v>
      </c>
      <c r="F414" s="7">
        <v>30</v>
      </c>
      <c r="G414" s="7">
        <v>38</v>
      </c>
      <c r="H414" s="7">
        <f t="shared" si="12"/>
        <v>266</v>
      </c>
      <c r="I414" s="7">
        <f t="shared" si="13"/>
        <v>0.77139999999999997</v>
      </c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1:28" ht="15" thickBot="1" x14ac:dyDescent="0.4">
      <c r="A415" s="5" t="s">
        <v>107</v>
      </c>
      <c r="B415" s="7" t="s">
        <v>54</v>
      </c>
      <c r="C415" s="7" t="s">
        <v>38</v>
      </c>
      <c r="D415" s="8" t="s">
        <v>58</v>
      </c>
      <c r="E415" t="s">
        <v>15</v>
      </c>
      <c r="F415" s="7">
        <v>80</v>
      </c>
      <c r="G415" s="7">
        <v>123</v>
      </c>
      <c r="H415" s="7">
        <f t="shared" si="12"/>
        <v>861</v>
      </c>
      <c r="I415" s="7">
        <f t="shared" si="13"/>
        <v>2.4969000000000001</v>
      </c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1:28" ht="15" thickBot="1" x14ac:dyDescent="0.4">
      <c r="A416" s="5" t="s">
        <v>107</v>
      </c>
      <c r="B416" s="7" t="s">
        <v>54</v>
      </c>
      <c r="C416" s="7" t="s">
        <v>38</v>
      </c>
      <c r="D416" s="8" t="s">
        <v>59</v>
      </c>
      <c r="E416" t="s">
        <v>16</v>
      </c>
      <c r="F416" s="7">
        <v>25</v>
      </c>
      <c r="G416" s="7">
        <v>37</v>
      </c>
      <c r="H416" s="7">
        <f t="shared" si="12"/>
        <v>259</v>
      </c>
      <c r="I416" s="7">
        <f t="shared" si="13"/>
        <v>0.75109999999999999</v>
      </c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1:28" ht="15" thickBot="1" x14ac:dyDescent="0.4">
      <c r="A417" s="5" t="s">
        <v>107</v>
      </c>
      <c r="B417" s="7" t="s">
        <v>54</v>
      </c>
      <c r="C417" s="7" t="s">
        <v>38</v>
      </c>
      <c r="D417" s="8" t="s">
        <v>60</v>
      </c>
      <c r="E417" t="s">
        <v>17</v>
      </c>
      <c r="F417" s="7">
        <v>80</v>
      </c>
      <c r="G417" s="7">
        <v>123</v>
      </c>
      <c r="H417" s="7">
        <f t="shared" si="12"/>
        <v>861</v>
      </c>
      <c r="I417" s="7">
        <f t="shared" si="13"/>
        <v>2.4969000000000001</v>
      </c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1:28" ht="15" thickBot="1" x14ac:dyDescent="0.4">
      <c r="A418" s="5" t="s">
        <v>107</v>
      </c>
      <c r="B418" s="7" t="s">
        <v>39</v>
      </c>
      <c r="C418" s="7" t="s">
        <v>61</v>
      </c>
      <c r="D418" s="11" t="s">
        <v>97</v>
      </c>
      <c r="E418" t="s">
        <v>18</v>
      </c>
      <c r="F418" s="7">
        <v>100</v>
      </c>
      <c r="G418" s="7">
        <v>100</v>
      </c>
      <c r="H418" s="7">
        <f t="shared" si="12"/>
        <v>700</v>
      </c>
      <c r="I418" s="7">
        <f t="shared" si="13"/>
        <v>2.0299999999999998</v>
      </c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1:28" ht="15" thickBot="1" x14ac:dyDescent="0.4">
      <c r="A419" s="5" t="s">
        <v>107</v>
      </c>
      <c r="B419" s="7" t="s">
        <v>39</v>
      </c>
      <c r="C419" s="7" t="s">
        <v>61</v>
      </c>
      <c r="D419" s="11" t="s">
        <v>62</v>
      </c>
      <c r="E419" t="s">
        <v>19</v>
      </c>
      <c r="F419" s="7">
        <v>0</v>
      </c>
      <c r="G419" s="7">
        <v>0</v>
      </c>
      <c r="H419" s="7">
        <f t="shared" si="12"/>
        <v>0</v>
      </c>
      <c r="I419" s="7">
        <f t="shared" si="13"/>
        <v>0</v>
      </c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1:28" ht="15" thickBot="1" x14ac:dyDescent="0.4">
      <c r="A420" s="5" t="s">
        <v>107</v>
      </c>
      <c r="B420" s="7" t="s">
        <v>39</v>
      </c>
      <c r="C420" s="7" t="s">
        <v>61</v>
      </c>
      <c r="D420" s="11" t="s">
        <v>98</v>
      </c>
      <c r="E420" t="s">
        <v>20</v>
      </c>
      <c r="F420" s="7">
        <v>0</v>
      </c>
      <c r="G420" s="7">
        <v>0</v>
      </c>
      <c r="H420" s="7">
        <f t="shared" si="12"/>
        <v>0</v>
      </c>
      <c r="I420" s="7">
        <f t="shared" si="13"/>
        <v>0</v>
      </c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1:28" ht="15" thickBot="1" x14ac:dyDescent="0.4">
      <c r="A421" s="5" t="s">
        <v>107</v>
      </c>
      <c r="B421" s="7" t="s">
        <v>39</v>
      </c>
      <c r="C421" s="7" t="s">
        <v>61</v>
      </c>
      <c r="D421" s="11" t="s">
        <v>63</v>
      </c>
      <c r="E421" t="s">
        <v>21</v>
      </c>
      <c r="F421" s="7">
        <v>10</v>
      </c>
      <c r="G421" s="7">
        <v>10</v>
      </c>
      <c r="H421" s="7">
        <f t="shared" si="12"/>
        <v>70</v>
      </c>
      <c r="I421" s="7">
        <f t="shared" si="13"/>
        <v>0.20300000000000001</v>
      </c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1:28" ht="15" thickBot="1" x14ac:dyDescent="0.4">
      <c r="A422" s="5" t="s">
        <v>107</v>
      </c>
      <c r="B422" s="7" t="s">
        <v>39</v>
      </c>
      <c r="C422" s="7" t="s">
        <v>64</v>
      </c>
      <c r="D422" s="11" t="s">
        <v>65</v>
      </c>
      <c r="E422" t="s">
        <v>20</v>
      </c>
      <c r="F422" s="7">
        <v>0</v>
      </c>
      <c r="G422" s="7">
        <v>0</v>
      </c>
      <c r="H422" s="7">
        <f t="shared" si="12"/>
        <v>0</v>
      </c>
      <c r="I422" s="7">
        <f t="shared" si="13"/>
        <v>0</v>
      </c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1:28" ht="15" thickBot="1" x14ac:dyDescent="0.4">
      <c r="A423" s="5" t="s">
        <v>107</v>
      </c>
      <c r="B423" s="7" t="s">
        <v>39</v>
      </c>
      <c r="C423" s="7" t="s">
        <v>64</v>
      </c>
      <c r="D423" s="11" t="s">
        <v>66</v>
      </c>
      <c r="E423" t="s">
        <v>20</v>
      </c>
      <c r="F423" s="7">
        <v>0</v>
      </c>
      <c r="G423" s="7">
        <v>0</v>
      </c>
      <c r="H423" s="7">
        <f t="shared" si="12"/>
        <v>0</v>
      </c>
      <c r="I423" s="7">
        <f t="shared" si="13"/>
        <v>0</v>
      </c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1:28" ht="15" thickBot="1" x14ac:dyDescent="0.4">
      <c r="A424" s="5" t="s">
        <v>107</v>
      </c>
      <c r="B424" s="7" t="s">
        <v>39</v>
      </c>
      <c r="C424" s="7" t="s">
        <v>64</v>
      </c>
      <c r="D424" s="11" t="s">
        <v>67</v>
      </c>
      <c r="E424" t="s">
        <v>22</v>
      </c>
      <c r="F424" s="7">
        <v>40</v>
      </c>
      <c r="G424" s="7">
        <v>40</v>
      </c>
      <c r="H424" s="7">
        <f t="shared" si="12"/>
        <v>280</v>
      </c>
      <c r="I424" s="7">
        <f t="shared" si="13"/>
        <v>0.81200000000000006</v>
      </c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1:28" ht="15" thickBot="1" x14ac:dyDescent="0.4">
      <c r="A425" s="5" t="s">
        <v>107</v>
      </c>
      <c r="B425" s="7" t="s">
        <v>68</v>
      </c>
      <c r="C425" s="7" t="s">
        <v>69</v>
      </c>
      <c r="D425" s="11" t="s">
        <v>70</v>
      </c>
      <c r="E425" t="s">
        <v>116</v>
      </c>
      <c r="F425" s="7">
        <v>5</v>
      </c>
      <c r="G425" s="7">
        <v>6</v>
      </c>
      <c r="H425" s="7">
        <f t="shared" si="12"/>
        <v>42</v>
      </c>
      <c r="I425" s="7">
        <f t="shared" si="13"/>
        <v>0.12179999999999999</v>
      </c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1:28" ht="15" thickBot="1" x14ac:dyDescent="0.4">
      <c r="A426" s="5" t="s">
        <v>107</v>
      </c>
      <c r="B426" s="7" t="s">
        <v>68</v>
      </c>
      <c r="C426" s="7" t="s">
        <v>69</v>
      </c>
      <c r="D426" s="11" t="s">
        <v>71</v>
      </c>
      <c r="E426" t="s">
        <v>117</v>
      </c>
      <c r="F426" s="7">
        <v>5</v>
      </c>
      <c r="G426" s="7">
        <v>6</v>
      </c>
      <c r="H426" s="7">
        <f t="shared" si="12"/>
        <v>42</v>
      </c>
      <c r="I426" s="7">
        <f t="shared" si="13"/>
        <v>0.12179999999999999</v>
      </c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1:28" ht="15" thickBot="1" x14ac:dyDescent="0.4">
      <c r="A427" s="5" t="s">
        <v>107</v>
      </c>
      <c r="B427" s="7" t="s">
        <v>68</v>
      </c>
      <c r="C427" s="7" t="s">
        <v>69</v>
      </c>
      <c r="D427" s="11" t="s">
        <v>72</v>
      </c>
      <c r="E427" t="s">
        <v>118</v>
      </c>
      <c r="F427" s="7">
        <v>0</v>
      </c>
      <c r="G427" s="7">
        <v>0</v>
      </c>
      <c r="H427" s="7">
        <f t="shared" si="12"/>
        <v>0</v>
      </c>
      <c r="I427" s="7">
        <f t="shared" si="13"/>
        <v>0</v>
      </c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1:28" ht="15" thickBot="1" x14ac:dyDescent="0.4">
      <c r="A428" s="5" t="s">
        <v>107</v>
      </c>
      <c r="B428" s="7" t="s">
        <v>68</v>
      </c>
      <c r="C428" s="7" t="s">
        <v>69</v>
      </c>
      <c r="D428" s="11" t="s">
        <v>73</v>
      </c>
      <c r="E428" t="s">
        <v>119</v>
      </c>
      <c r="F428" s="7">
        <v>0</v>
      </c>
      <c r="G428" s="7">
        <v>0</v>
      </c>
      <c r="H428" s="7">
        <f t="shared" si="12"/>
        <v>0</v>
      </c>
      <c r="I428" s="7">
        <f t="shared" si="13"/>
        <v>0</v>
      </c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1:28" ht="15" thickBot="1" x14ac:dyDescent="0.4">
      <c r="A429" s="5" t="s">
        <v>107</v>
      </c>
      <c r="B429" s="7" t="s">
        <v>68</v>
      </c>
      <c r="C429" s="7" t="s">
        <v>40</v>
      </c>
      <c r="D429" s="11" t="s">
        <v>74</v>
      </c>
      <c r="E429" t="s">
        <v>120</v>
      </c>
      <c r="F429" s="7">
        <v>5</v>
      </c>
      <c r="G429" s="7">
        <v>8</v>
      </c>
      <c r="H429" s="7">
        <f t="shared" si="12"/>
        <v>56</v>
      </c>
      <c r="I429" s="7">
        <f t="shared" si="13"/>
        <v>0.16240000000000002</v>
      </c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1:28" ht="15" thickBot="1" x14ac:dyDescent="0.4">
      <c r="A430" s="5" t="s">
        <v>107</v>
      </c>
      <c r="B430" s="7" t="s">
        <v>68</v>
      </c>
      <c r="C430" s="7" t="s">
        <v>40</v>
      </c>
      <c r="D430" s="11" t="s">
        <v>75</v>
      </c>
      <c r="E430" s="11" t="s">
        <v>121</v>
      </c>
      <c r="F430" s="7">
        <v>5</v>
      </c>
      <c r="G430" s="7">
        <v>7</v>
      </c>
      <c r="H430" s="7">
        <f t="shared" si="12"/>
        <v>49</v>
      </c>
      <c r="I430" s="7">
        <f t="shared" si="13"/>
        <v>0.1421</v>
      </c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1:28" ht="15" thickBot="1" x14ac:dyDescent="0.4">
      <c r="A431" s="5" t="s">
        <v>107</v>
      </c>
      <c r="B431" s="7" t="s">
        <v>68</v>
      </c>
      <c r="C431" s="7" t="s">
        <v>40</v>
      </c>
      <c r="D431" s="11" t="s">
        <v>76</v>
      </c>
      <c r="E431" s="11" t="s">
        <v>122</v>
      </c>
      <c r="F431" s="7">
        <v>4</v>
      </c>
      <c r="G431" s="7">
        <v>5</v>
      </c>
      <c r="H431" s="7">
        <f t="shared" si="12"/>
        <v>35</v>
      </c>
      <c r="I431" s="7">
        <f t="shared" si="13"/>
        <v>0.10150000000000001</v>
      </c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1:28" ht="15" thickBot="1" x14ac:dyDescent="0.4">
      <c r="A432" s="5" t="s">
        <v>107</v>
      </c>
      <c r="B432" s="7" t="s">
        <v>68</v>
      </c>
      <c r="C432" s="7" t="s">
        <v>41</v>
      </c>
      <c r="D432" s="11" t="s">
        <v>77</v>
      </c>
      <c r="E432" t="s">
        <v>23</v>
      </c>
      <c r="F432" s="7">
        <v>90</v>
      </c>
      <c r="G432" s="7">
        <v>106</v>
      </c>
      <c r="H432" s="7">
        <f t="shared" si="12"/>
        <v>742</v>
      </c>
      <c r="I432" s="7">
        <f t="shared" si="13"/>
        <v>2.1517999999999997</v>
      </c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1:28" ht="15" thickBot="1" x14ac:dyDescent="0.4">
      <c r="A433" s="5" t="s">
        <v>107</v>
      </c>
      <c r="B433" s="7" t="s">
        <v>68</v>
      </c>
      <c r="C433" s="7" t="s">
        <v>41</v>
      </c>
      <c r="D433" s="11" t="s">
        <v>78</v>
      </c>
      <c r="E433" t="s">
        <v>24</v>
      </c>
      <c r="F433" s="7">
        <v>30</v>
      </c>
      <c r="G433" s="7">
        <v>30</v>
      </c>
      <c r="H433" s="7">
        <f t="shared" si="12"/>
        <v>210</v>
      </c>
      <c r="I433" s="7">
        <f t="shared" si="13"/>
        <v>0.60899999999999999</v>
      </c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1:28" ht="15" thickBot="1" x14ac:dyDescent="0.4">
      <c r="A434" s="5" t="s">
        <v>107</v>
      </c>
      <c r="B434" s="7" t="s">
        <v>68</v>
      </c>
      <c r="C434" s="7" t="s">
        <v>42</v>
      </c>
      <c r="D434" s="6" t="s">
        <v>71</v>
      </c>
      <c r="E434" t="s">
        <v>123</v>
      </c>
      <c r="F434" s="7">
        <v>5</v>
      </c>
      <c r="G434" s="7">
        <v>6</v>
      </c>
      <c r="H434" s="7">
        <f t="shared" si="12"/>
        <v>42</v>
      </c>
      <c r="I434" s="7">
        <f t="shared" si="13"/>
        <v>0.12179999999999999</v>
      </c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1:28" ht="15" thickBot="1" x14ac:dyDescent="0.4">
      <c r="A435" s="5" t="s">
        <v>107</v>
      </c>
      <c r="B435" s="7" t="s">
        <v>68</v>
      </c>
      <c r="C435" s="7" t="s">
        <v>42</v>
      </c>
      <c r="D435" s="6" t="s">
        <v>73</v>
      </c>
      <c r="E435" t="s">
        <v>124</v>
      </c>
      <c r="F435" s="7">
        <v>0</v>
      </c>
      <c r="G435" s="7">
        <v>0</v>
      </c>
      <c r="H435" s="7">
        <f t="shared" si="12"/>
        <v>0</v>
      </c>
      <c r="I435" s="7">
        <f t="shared" si="13"/>
        <v>0</v>
      </c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1:28" ht="15" thickBot="1" x14ac:dyDescent="0.4">
      <c r="A436" s="5" t="s">
        <v>107</v>
      </c>
      <c r="B436" s="7" t="s">
        <v>68</v>
      </c>
      <c r="C436" s="7" t="s">
        <v>42</v>
      </c>
      <c r="D436" s="6" t="s">
        <v>74</v>
      </c>
      <c r="E436" t="s">
        <v>125</v>
      </c>
      <c r="F436" s="7">
        <v>4</v>
      </c>
      <c r="G436" s="7">
        <v>5</v>
      </c>
      <c r="H436" s="7">
        <f t="shared" si="12"/>
        <v>35</v>
      </c>
      <c r="I436" s="7">
        <f t="shared" si="13"/>
        <v>0.10150000000000001</v>
      </c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1:28" ht="15" thickBot="1" x14ac:dyDescent="0.4">
      <c r="A437" s="5" t="s">
        <v>107</v>
      </c>
      <c r="B437" s="7" t="s">
        <v>68</v>
      </c>
      <c r="C437" s="7" t="s">
        <v>42</v>
      </c>
      <c r="D437" s="6" t="s">
        <v>76</v>
      </c>
      <c r="E437" t="s">
        <v>126</v>
      </c>
      <c r="F437" s="7">
        <v>0</v>
      </c>
      <c r="G437" s="7">
        <v>0</v>
      </c>
      <c r="H437" s="7">
        <f t="shared" si="12"/>
        <v>0</v>
      </c>
      <c r="I437" s="7">
        <f t="shared" si="13"/>
        <v>0</v>
      </c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1:28" ht="15" thickBot="1" x14ac:dyDescent="0.4">
      <c r="A438" s="5" t="s">
        <v>107</v>
      </c>
      <c r="B438" s="7" t="s">
        <v>68</v>
      </c>
      <c r="C438" s="7" t="s">
        <v>79</v>
      </c>
      <c r="D438" s="11" t="s">
        <v>79</v>
      </c>
      <c r="E438" t="s">
        <v>25</v>
      </c>
      <c r="F438" s="7">
        <v>20</v>
      </c>
      <c r="G438" s="7">
        <v>22</v>
      </c>
      <c r="H438" s="7">
        <f t="shared" si="12"/>
        <v>154</v>
      </c>
      <c r="I438" s="7">
        <f t="shared" si="13"/>
        <v>0.44659999999999994</v>
      </c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1:28" ht="15" thickBot="1" x14ac:dyDescent="0.4">
      <c r="A439" s="5" t="s">
        <v>107</v>
      </c>
      <c r="B439" s="7" t="s">
        <v>80</v>
      </c>
      <c r="C439" s="7" t="s">
        <v>43</v>
      </c>
      <c r="D439" s="11" t="s">
        <v>43</v>
      </c>
      <c r="E439" t="s">
        <v>26</v>
      </c>
      <c r="F439" s="7">
        <v>40</v>
      </c>
      <c r="G439" s="7">
        <v>40</v>
      </c>
      <c r="H439" s="7">
        <f t="shared" si="12"/>
        <v>280</v>
      </c>
      <c r="I439" s="7">
        <f t="shared" si="13"/>
        <v>0.81200000000000006</v>
      </c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1:28" ht="15" thickBot="1" x14ac:dyDescent="0.4">
      <c r="A440" s="5" t="s">
        <v>107</v>
      </c>
      <c r="B440" s="7" t="s">
        <v>80</v>
      </c>
      <c r="C440" s="7" t="s">
        <v>43</v>
      </c>
      <c r="D440" s="11" t="s">
        <v>81</v>
      </c>
      <c r="E440" t="s">
        <v>27</v>
      </c>
      <c r="F440" s="7">
        <v>0</v>
      </c>
      <c r="G440" s="7">
        <v>0</v>
      </c>
      <c r="H440" s="7">
        <f t="shared" si="12"/>
        <v>0</v>
      </c>
      <c r="I440" s="7">
        <f t="shared" si="13"/>
        <v>0</v>
      </c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1:28" ht="15" thickBot="1" x14ac:dyDescent="0.4">
      <c r="A441" s="5" t="s">
        <v>107</v>
      </c>
      <c r="B441" s="7" t="s">
        <v>80</v>
      </c>
      <c r="C441" s="7" t="s">
        <v>44</v>
      </c>
      <c r="D441" s="11" t="s">
        <v>82</v>
      </c>
      <c r="E441" t="s">
        <v>127</v>
      </c>
      <c r="F441" s="7">
        <v>20</v>
      </c>
      <c r="G441" s="7">
        <v>25</v>
      </c>
      <c r="H441" s="7">
        <f t="shared" si="12"/>
        <v>175</v>
      </c>
      <c r="I441" s="7">
        <f t="shared" si="13"/>
        <v>0.50749999999999995</v>
      </c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1:28" ht="15" thickBot="1" x14ac:dyDescent="0.4">
      <c r="A442" s="5" t="s">
        <v>107</v>
      </c>
      <c r="B442" s="7" t="s">
        <v>80</v>
      </c>
      <c r="C442" s="7" t="s">
        <v>44</v>
      </c>
      <c r="D442" s="11" t="s">
        <v>83</v>
      </c>
      <c r="E442" t="s">
        <v>28</v>
      </c>
      <c r="F442" s="7">
        <v>5</v>
      </c>
      <c r="G442" s="7">
        <v>6</v>
      </c>
      <c r="H442" s="7">
        <f t="shared" si="12"/>
        <v>42</v>
      </c>
      <c r="I442" s="7">
        <f t="shared" si="13"/>
        <v>0.12179999999999999</v>
      </c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1:28" ht="15" thickBot="1" x14ac:dyDescent="0.4">
      <c r="A443" s="5" t="s">
        <v>107</v>
      </c>
      <c r="B443" s="7" t="s">
        <v>45</v>
      </c>
      <c r="C443" s="7" t="s">
        <v>84</v>
      </c>
      <c r="D443" t="s">
        <v>84</v>
      </c>
      <c r="E443" t="s">
        <v>30</v>
      </c>
      <c r="F443" s="7">
        <v>18</v>
      </c>
      <c r="G443" s="7">
        <v>18</v>
      </c>
      <c r="H443" s="7">
        <f t="shared" si="12"/>
        <v>126</v>
      </c>
      <c r="I443" s="7">
        <f t="shared" si="13"/>
        <v>0.3654</v>
      </c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1:28" ht="15" thickBot="1" x14ac:dyDescent="0.4">
      <c r="A444" s="5" t="s">
        <v>107</v>
      </c>
      <c r="B444" s="7" t="s">
        <v>45</v>
      </c>
      <c r="C444" s="7" t="s">
        <v>85</v>
      </c>
      <c r="D444" t="s">
        <v>85</v>
      </c>
      <c r="E444" t="s">
        <v>31</v>
      </c>
      <c r="F444" s="7">
        <v>5</v>
      </c>
      <c r="G444" s="7">
        <v>5</v>
      </c>
      <c r="H444" s="7">
        <f t="shared" si="12"/>
        <v>35</v>
      </c>
      <c r="I444" s="7">
        <f t="shared" si="13"/>
        <v>0.10150000000000001</v>
      </c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1:28" ht="15" thickBot="1" x14ac:dyDescent="0.4">
      <c r="A445" s="5" t="s">
        <v>107</v>
      </c>
      <c r="B445" s="7" t="s">
        <v>86</v>
      </c>
      <c r="C445" s="7" t="s">
        <v>87</v>
      </c>
      <c r="D445" s="11" t="s">
        <v>87</v>
      </c>
      <c r="E445" t="s">
        <v>29</v>
      </c>
      <c r="F445" s="7">
        <v>50</v>
      </c>
      <c r="G445" s="7">
        <v>50</v>
      </c>
      <c r="H445" s="7">
        <f t="shared" si="12"/>
        <v>350</v>
      </c>
      <c r="I445" s="7">
        <f t="shared" si="13"/>
        <v>1.0149999999999999</v>
      </c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1:28" ht="15" thickBot="1" x14ac:dyDescent="0.4">
      <c r="A446" s="5" t="s">
        <v>107</v>
      </c>
      <c r="B446" s="7" t="s">
        <v>86</v>
      </c>
      <c r="C446" s="7" t="s">
        <v>46</v>
      </c>
      <c r="D446" s="11" t="s">
        <v>88</v>
      </c>
      <c r="E446" s="11" t="s">
        <v>88</v>
      </c>
      <c r="F446" s="7">
        <v>5</v>
      </c>
      <c r="G446" s="7">
        <v>5</v>
      </c>
      <c r="H446" s="7">
        <f t="shared" si="12"/>
        <v>35</v>
      </c>
      <c r="I446" s="7">
        <f t="shared" si="13"/>
        <v>0.10150000000000001</v>
      </c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1:28" ht="15" thickBot="1" x14ac:dyDescent="0.4">
      <c r="A447" s="5" t="s">
        <v>107</v>
      </c>
      <c r="B447" s="7" t="s">
        <v>86</v>
      </c>
      <c r="C447" s="7" t="s">
        <v>46</v>
      </c>
      <c r="D447" s="11" t="s">
        <v>89</v>
      </c>
      <c r="E447" s="11" t="s">
        <v>89</v>
      </c>
      <c r="F447" s="7">
        <v>0</v>
      </c>
      <c r="G447" s="7">
        <v>0</v>
      </c>
      <c r="H447" s="7">
        <f t="shared" si="12"/>
        <v>0</v>
      </c>
      <c r="I447" s="7">
        <f t="shared" si="13"/>
        <v>0</v>
      </c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1:28" ht="15" thickBot="1" x14ac:dyDescent="0.4">
      <c r="A448" s="5" t="s">
        <v>107</v>
      </c>
      <c r="B448" s="7" t="s">
        <v>86</v>
      </c>
      <c r="C448" s="7" t="s">
        <v>46</v>
      </c>
      <c r="D448" s="11" t="s">
        <v>90</v>
      </c>
      <c r="E448" s="11" t="s">
        <v>90</v>
      </c>
      <c r="F448" s="7">
        <v>16</v>
      </c>
      <c r="G448" s="7">
        <v>16</v>
      </c>
      <c r="H448" s="7">
        <f t="shared" si="12"/>
        <v>112</v>
      </c>
      <c r="I448" s="7">
        <f t="shared" si="13"/>
        <v>0.32480000000000003</v>
      </c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1:28" ht="15" thickBot="1" x14ac:dyDescent="0.4">
      <c r="A449" s="5" t="s">
        <v>107</v>
      </c>
      <c r="B449" s="7" t="s">
        <v>86</v>
      </c>
      <c r="C449" s="7" t="s">
        <v>46</v>
      </c>
      <c r="D449" s="11" t="s">
        <v>91</v>
      </c>
      <c r="E449" s="11" t="s">
        <v>91</v>
      </c>
      <c r="F449" s="7">
        <v>5</v>
      </c>
      <c r="G449" s="7">
        <v>5</v>
      </c>
      <c r="H449" s="7">
        <f t="shared" si="12"/>
        <v>35</v>
      </c>
      <c r="I449" s="7">
        <f t="shared" si="13"/>
        <v>0.10150000000000001</v>
      </c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1:28" ht="15" thickBot="1" x14ac:dyDescent="0.4">
      <c r="A450" s="5" t="s">
        <v>107</v>
      </c>
      <c r="B450" s="7" t="s">
        <v>86</v>
      </c>
      <c r="C450" s="7" t="s">
        <v>92</v>
      </c>
      <c r="D450" t="s">
        <v>93</v>
      </c>
      <c r="E450" t="s">
        <v>93</v>
      </c>
      <c r="F450" s="7">
        <v>8</v>
      </c>
      <c r="G450" s="7">
        <v>9</v>
      </c>
      <c r="H450" s="7">
        <f t="shared" si="12"/>
        <v>63</v>
      </c>
      <c r="I450" s="7">
        <f t="shared" si="13"/>
        <v>0.1827</v>
      </c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1:28" ht="15" thickBot="1" x14ac:dyDescent="0.4">
      <c r="A451" s="5" t="s">
        <v>107</v>
      </c>
      <c r="B451" s="7" t="s">
        <v>86</v>
      </c>
      <c r="C451" s="7" t="s">
        <v>92</v>
      </c>
      <c r="D451" t="s">
        <v>94</v>
      </c>
      <c r="E451" t="s">
        <v>94</v>
      </c>
      <c r="F451" s="7">
        <v>3</v>
      </c>
      <c r="G451" s="7">
        <v>3</v>
      </c>
      <c r="H451" s="7">
        <f t="shared" ref="H451:H514" si="14">G451*7</f>
        <v>21</v>
      </c>
      <c r="I451" s="7">
        <f t="shared" ref="I451:I514" si="15">H451*2.9/(1000)</f>
        <v>6.0899999999999996E-2</v>
      </c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1:28" ht="15" thickBot="1" x14ac:dyDescent="0.4">
      <c r="A452" s="5" t="s">
        <v>108</v>
      </c>
      <c r="B452" s="7" t="s">
        <v>52</v>
      </c>
      <c r="C452" s="7" t="s">
        <v>35</v>
      </c>
      <c r="D452" s="8" t="s">
        <v>47</v>
      </c>
      <c r="E452" t="s">
        <v>3</v>
      </c>
      <c r="F452" s="7">
        <v>35</v>
      </c>
      <c r="G452" s="7">
        <v>35</v>
      </c>
      <c r="H452" s="7">
        <f t="shared" si="14"/>
        <v>245</v>
      </c>
      <c r="I452" s="7">
        <f t="shared" si="15"/>
        <v>0.71050000000000002</v>
      </c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1:28" ht="15" thickBot="1" x14ac:dyDescent="0.4">
      <c r="A453" s="5" t="s">
        <v>108</v>
      </c>
      <c r="B453" s="7" t="s">
        <v>52</v>
      </c>
      <c r="C453" s="7" t="s">
        <v>35</v>
      </c>
      <c r="D453" s="8" t="s">
        <v>48</v>
      </c>
      <c r="E453" t="s">
        <v>7</v>
      </c>
      <c r="F453" s="7">
        <v>5</v>
      </c>
      <c r="G453" s="7">
        <v>6</v>
      </c>
      <c r="H453" s="7">
        <f t="shared" si="14"/>
        <v>42</v>
      </c>
      <c r="I453" s="7">
        <f t="shared" si="15"/>
        <v>0.12179999999999999</v>
      </c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1:28" ht="15" thickBot="1" x14ac:dyDescent="0.4">
      <c r="A454" s="5" t="s">
        <v>108</v>
      </c>
      <c r="B454" s="7" t="s">
        <v>52</v>
      </c>
      <c r="C454" s="7" t="s">
        <v>35</v>
      </c>
      <c r="D454" s="8" t="s">
        <v>49</v>
      </c>
      <c r="E454" t="s">
        <v>4</v>
      </c>
      <c r="F454" s="7">
        <v>30</v>
      </c>
      <c r="G454" s="7">
        <v>30</v>
      </c>
      <c r="H454" s="7">
        <f t="shared" si="14"/>
        <v>210</v>
      </c>
      <c r="I454" s="7">
        <f t="shared" si="15"/>
        <v>0.60899999999999999</v>
      </c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1:28" ht="15" thickBot="1" x14ac:dyDescent="0.4">
      <c r="A455" s="5" t="s">
        <v>108</v>
      </c>
      <c r="B455" s="7" t="s">
        <v>52</v>
      </c>
      <c r="C455" s="7" t="s">
        <v>35</v>
      </c>
      <c r="D455" s="8" t="s">
        <v>50</v>
      </c>
      <c r="E455" t="s">
        <v>6</v>
      </c>
      <c r="F455" s="7">
        <v>15</v>
      </c>
      <c r="G455" s="7">
        <v>15</v>
      </c>
      <c r="H455" s="7">
        <f t="shared" si="14"/>
        <v>105</v>
      </c>
      <c r="I455" s="7">
        <f t="shared" si="15"/>
        <v>0.30449999999999999</v>
      </c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1:28" ht="15" thickBot="1" x14ac:dyDescent="0.4">
      <c r="A456" s="5" t="s">
        <v>108</v>
      </c>
      <c r="B456" s="7" t="s">
        <v>52</v>
      </c>
      <c r="C456" s="7" t="s">
        <v>35</v>
      </c>
      <c r="D456" s="8" t="s">
        <v>51</v>
      </c>
      <c r="E456" t="s">
        <v>5</v>
      </c>
      <c r="F456" s="7">
        <v>2</v>
      </c>
      <c r="G456" s="7">
        <v>2</v>
      </c>
      <c r="H456" s="7">
        <f t="shared" si="14"/>
        <v>14</v>
      </c>
      <c r="I456" s="7">
        <f t="shared" si="15"/>
        <v>4.0600000000000004E-2</v>
      </c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1:28" ht="15" thickBot="1" x14ac:dyDescent="0.4">
      <c r="A457" s="5" t="s">
        <v>108</v>
      </c>
      <c r="B457" s="7" t="s">
        <v>52</v>
      </c>
      <c r="C457" s="7" t="s">
        <v>37</v>
      </c>
      <c r="D457" s="9" t="s">
        <v>114</v>
      </c>
      <c r="E457" t="s">
        <v>8</v>
      </c>
      <c r="F457" s="7">
        <v>130</v>
      </c>
      <c r="G457" s="7">
        <v>151</v>
      </c>
      <c r="H457" s="7">
        <f t="shared" si="14"/>
        <v>1057</v>
      </c>
      <c r="I457" s="7">
        <f t="shared" si="15"/>
        <v>3.0652999999999997</v>
      </c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1:28" ht="15" thickBot="1" x14ac:dyDescent="0.4">
      <c r="A458" s="5" t="s">
        <v>108</v>
      </c>
      <c r="B458" s="7" t="s">
        <v>52</v>
      </c>
      <c r="C458" s="7" t="s">
        <v>37</v>
      </c>
      <c r="D458" s="8" t="s">
        <v>115</v>
      </c>
      <c r="E458" t="s">
        <v>9</v>
      </c>
      <c r="F458" s="7">
        <v>80</v>
      </c>
      <c r="G458" s="7">
        <v>94</v>
      </c>
      <c r="H458" s="7">
        <f t="shared" si="14"/>
        <v>658</v>
      </c>
      <c r="I458" s="7">
        <f t="shared" si="15"/>
        <v>1.9082000000000001</v>
      </c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1:28" ht="15" thickBot="1" x14ac:dyDescent="0.4">
      <c r="A459" s="5" t="s">
        <v>108</v>
      </c>
      <c r="B459" s="7" t="s">
        <v>52</v>
      </c>
      <c r="C459" s="7" t="s">
        <v>37</v>
      </c>
      <c r="D459" s="10" t="s">
        <v>53</v>
      </c>
      <c r="E459" t="s">
        <v>10</v>
      </c>
      <c r="F459" s="7">
        <v>110</v>
      </c>
      <c r="G459" s="7">
        <v>175</v>
      </c>
      <c r="H459" s="7">
        <f t="shared" si="14"/>
        <v>1225</v>
      </c>
      <c r="I459" s="7">
        <f t="shared" si="15"/>
        <v>3.5525000000000002</v>
      </c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1:28" ht="15" thickBot="1" x14ac:dyDescent="0.4">
      <c r="A460" s="5" t="s">
        <v>108</v>
      </c>
      <c r="B460" s="7" t="s">
        <v>52</v>
      </c>
      <c r="C460" s="7" t="s">
        <v>37</v>
      </c>
      <c r="D460" s="10" t="s">
        <v>96</v>
      </c>
      <c r="E460" t="s">
        <v>113</v>
      </c>
      <c r="F460" s="7">
        <v>0</v>
      </c>
      <c r="G460" s="7">
        <v>0</v>
      </c>
      <c r="H460" s="7">
        <f t="shared" si="14"/>
        <v>0</v>
      </c>
      <c r="I460" s="7">
        <f t="shared" si="15"/>
        <v>0</v>
      </c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1:28" ht="15" thickBot="1" x14ac:dyDescent="0.4">
      <c r="A461" s="5" t="s">
        <v>108</v>
      </c>
      <c r="B461" s="7" t="s">
        <v>52</v>
      </c>
      <c r="C461" s="7" t="s">
        <v>37</v>
      </c>
      <c r="D461" s="10" t="s">
        <v>50</v>
      </c>
      <c r="E461" t="s">
        <v>11</v>
      </c>
      <c r="F461" s="7">
        <v>10</v>
      </c>
      <c r="G461" s="7">
        <v>10</v>
      </c>
      <c r="H461" s="7">
        <f t="shared" si="14"/>
        <v>70</v>
      </c>
      <c r="I461" s="7">
        <f t="shared" si="15"/>
        <v>0.20300000000000001</v>
      </c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1:28" ht="15" thickBot="1" x14ac:dyDescent="0.4">
      <c r="A462" s="5" t="s">
        <v>108</v>
      </c>
      <c r="B462" s="7" t="s">
        <v>54</v>
      </c>
      <c r="C462" s="7" t="s">
        <v>36</v>
      </c>
      <c r="D462" s="8" t="s">
        <v>55</v>
      </c>
      <c r="E462" t="s">
        <v>12</v>
      </c>
      <c r="F462" s="7">
        <v>80</v>
      </c>
      <c r="G462" s="7">
        <v>94</v>
      </c>
      <c r="H462" s="7">
        <f t="shared" si="14"/>
        <v>658</v>
      </c>
      <c r="I462" s="7">
        <f t="shared" si="15"/>
        <v>1.9082000000000001</v>
      </c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1:28" ht="15" thickBot="1" x14ac:dyDescent="0.4">
      <c r="A463" s="5" t="s">
        <v>108</v>
      </c>
      <c r="B463" s="7" t="s">
        <v>54</v>
      </c>
      <c r="C463" s="7" t="s">
        <v>36</v>
      </c>
      <c r="D463" s="8" t="s">
        <v>56</v>
      </c>
      <c r="E463" t="s">
        <v>13</v>
      </c>
      <c r="F463" s="7">
        <v>80</v>
      </c>
      <c r="G463" s="7">
        <v>103</v>
      </c>
      <c r="H463" s="7">
        <f t="shared" si="14"/>
        <v>721</v>
      </c>
      <c r="I463" s="7">
        <f t="shared" si="15"/>
        <v>2.0909</v>
      </c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1:28" ht="15" thickBot="1" x14ac:dyDescent="0.4">
      <c r="A464" s="5" t="s">
        <v>108</v>
      </c>
      <c r="B464" s="7" t="s">
        <v>54</v>
      </c>
      <c r="C464" s="7" t="s">
        <v>36</v>
      </c>
      <c r="D464" s="8" t="s">
        <v>57</v>
      </c>
      <c r="E464" t="s">
        <v>14</v>
      </c>
      <c r="F464" s="7">
        <v>30</v>
      </c>
      <c r="G464" s="7">
        <v>38</v>
      </c>
      <c r="H464" s="7">
        <f t="shared" si="14"/>
        <v>266</v>
      </c>
      <c r="I464" s="7">
        <f t="shared" si="15"/>
        <v>0.77139999999999997</v>
      </c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1:28" ht="15" thickBot="1" x14ac:dyDescent="0.4">
      <c r="A465" s="5" t="s">
        <v>108</v>
      </c>
      <c r="B465" s="7" t="s">
        <v>54</v>
      </c>
      <c r="C465" s="7" t="s">
        <v>38</v>
      </c>
      <c r="D465" s="8" t="s">
        <v>58</v>
      </c>
      <c r="E465" t="s">
        <v>15</v>
      </c>
      <c r="F465" s="7">
        <v>80</v>
      </c>
      <c r="G465" s="7">
        <v>123</v>
      </c>
      <c r="H465" s="7">
        <f t="shared" si="14"/>
        <v>861</v>
      </c>
      <c r="I465" s="7">
        <f t="shared" si="15"/>
        <v>2.4969000000000001</v>
      </c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1:28" ht="15" thickBot="1" x14ac:dyDescent="0.4">
      <c r="A466" s="5" t="s">
        <v>108</v>
      </c>
      <c r="B466" s="7" t="s">
        <v>54</v>
      </c>
      <c r="C466" s="7" t="s">
        <v>38</v>
      </c>
      <c r="D466" s="8" t="s">
        <v>59</v>
      </c>
      <c r="E466" t="s">
        <v>16</v>
      </c>
      <c r="F466" s="7">
        <v>25</v>
      </c>
      <c r="G466" s="7">
        <v>37</v>
      </c>
      <c r="H466" s="7">
        <f t="shared" si="14"/>
        <v>259</v>
      </c>
      <c r="I466" s="7">
        <f t="shared" si="15"/>
        <v>0.75109999999999999</v>
      </c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1:28" ht="15" thickBot="1" x14ac:dyDescent="0.4">
      <c r="A467" s="5" t="s">
        <v>108</v>
      </c>
      <c r="B467" s="7" t="s">
        <v>54</v>
      </c>
      <c r="C467" s="7" t="s">
        <v>38</v>
      </c>
      <c r="D467" s="8" t="s">
        <v>60</v>
      </c>
      <c r="E467" t="s">
        <v>17</v>
      </c>
      <c r="F467" s="7">
        <v>80</v>
      </c>
      <c r="G467" s="7">
        <v>123</v>
      </c>
      <c r="H467" s="7">
        <f t="shared" si="14"/>
        <v>861</v>
      </c>
      <c r="I467" s="7">
        <f t="shared" si="15"/>
        <v>2.4969000000000001</v>
      </c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1:28" ht="15" thickBot="1" x14ac:dyDescent="0.4">
      <c r="A468" s="5" t="s">
        <v>108</v>
      </c>
      <c r="B468" s="7" t="s">
        <v>39</v>
      </c>
      <c r="C468" s="7" t="s">
        <v>61</v>
      </c>
      <c r="D468" s="11" t="s">
        <v>97</v>
      </c>
      <c r="E468" t="s">
        <v>18</v>
      </c>
      <c r="F468" s="7">
        <v>100</v>
      </c>
      <c r="G468" s="7">
        <v>100</v>
      </c>
      <c r="H468" s="7">
        <f t="shared" si="14"/>
        <v>700</v>
      </c>
      <c r="I468" s="7">
        <f t="shared" si="15"/>
        <v>2.0299999999999998</v>
      </c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1:28" ht="15" thickBot="1" x14ac:dyDescent="0.4">
      <c r="A469" s="5" t="s">
        <v>108</v>
      </c>
      <c r="B469" s="7" t="s">
        <v>39</v>
      </c>
      <c r="C469" s="7" t="s">
        <v>61</v>
      </c>
      <c r="D469" s="11" t="s">
        <v>62</v>
      </c>
      <c r="E469" t="s">
        <v>19</v>
      </c>
      <c r="F469" s="7">
        <v>0</v>
      </c>
      <c r="G469" s="7">
        <v>0</v>
      </c>
      <c r="H469" s="7">
        <f t="shared" si="14"/>
        <v>0</v>
      </c>
      <c r="I469" s="7">
        <f t="shared" si="15"/>
        <v>0</v>
      </c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1:28" ht="15" thickBot="1" x14ac:dyDescent="0.4">
      <c r="A470" s="5" t="s">
        <v>108</v>
      </c>
      <c r="B470" s="7" t="s">
        <v>39</v>
      </c>
      <c r="C470" s="7" t="s">
        <v>61</v>
      </c>
      <c r="D470" s="11" t="s">
        <v>98</v>
      </c>
      <c r="E470" t="s">
        <v>20</v>
      </c>
      <c r="F470" s="7">
        <v>0</v>
      </c>
      <c r="G470" s="7">
        <v>0</v>
      </c>
      <c r="H470" s="7">
        <f t="shared" si="14"/>
        <v>0</v>
      </c>
      <c r="I470" s="7">
        <f t="shared" si="15"/>
        <v>0</v>
      </c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1:28" ht="15" thickBot="1" x14ac:dyDescent="0.4">
      <c r="A471" s="5" t="s">
        <v>108</v>
      </c>
      <c r="B471" s="7" t="s">
        <v>39</v>
      </c>
      <c r="C471" s="7" t="s">
        <v>61</v>
      </c>
      <c r="D471" s="11" t="s">
        <v>63</v>
      </c>
      <c r="E471" t="s">
        <v>21</v>
      </c>
      <c r="F471" s="7">
        <v>35</v>
      </c>
      <c r="G471" s="7">
        <v>35</v>
      </c>
      <c r="H471" s="7">
        <f t="shared" si="14"/>
        <v>245</v>
      </c>
      <c r="I471" s="7">
        <f t="shared" si="15"/>
        <v>0.71050000000000002</v>
      </c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1:28" ht="15" thickBot="1" x14ac:dyDescent="0.4">
      <c r="A472" s="5" t="s">
        <v>108</v>
      </c>
      <c r="B472" s="7" t="s">
        <v>39</v>
      </c>
      <c r="C472" s="7" t="s">
        <v>64</v>
      </c>
      <c r="D472" s="11" t="s">
        <v>65</v>
      </c>
      <c r="E472" t="s">
        <v>20</v>
      </c>
      <c r="F472" s="7">
        <v>0</v>
      </c>
      <c r="G472" s="7">
        <v>0</v>
      </c>
      <c r="H472" s="7">
        <f t="shared" si="14"/>
        <v>0</v>
      </c>
      <c r="I472" s="7">
        <f t="shared" si="15"/>
        <v>0</v>
      </c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1:28" ht="15" thickBot="1" x14ac:dyDescent="0.4">
      <c r="A473" s="5" t="s">
        <v>108</v>
      </c>
      <c r="B473" s="7" t="s">
        <v>39</v>
      </c>
      <c r="C473" s="7" t="s">
        <v>64</v>
      </c>
      <c r="D473" s="11" t="s">
        <v>66</v>
      </c>
      <c r="E473" t="s">
        <v>20</v>
      </c>
      <c r="F473" s="7">
        <v>0</v>
      </c>
      <c r="G473" s="7">
        <v>0</v>
      </c>
      <c r="H473" s="7">
        <f t="shared" si="14"/>
        <v>0</v>
      </c>
      <c r="I473" s="7">
        <f t="shared" si="15"/>
        <v>0</v>
      </c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1:28" ht="15" thickBot="1" x14ac:dyDescent="0.4">
      <c r="A474" s="5" t="s">
        <v>108</v>
      </c>
      <c r="B474" s="7" t="s">
        <v>39</v>
      </c>
      <c r="C474" s="7" t="s">
        <v>64</v>
      </c>
      <c r="D474" s="11" t="s">
        <v>67</v>
      </c>
      <c r="E474" t="s">
        <v>22</v>
      </c>
      <c r="F474" s="7">
        <v>40</v>
      </c>
      <c r="G474" s="7">
        <v>40</v>
      </c>
      <c r="H474" s="7">
        <f t="shared" si="14"/>
        <v>280</v>
      </c>
      <c r="I474" s="7">
        <f t="shared" si="15"/>
        <v>0.81200000000000006</v>
      </c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1:28" ht="15" thickBot="1" x14ac:dyDescent="0.4">
      <c r="A475" s="5" t="s">
        <v>108</v>
      </c>
      <c r="B475" s="7" t="s">
        <v>68</v>
      </c>
      <c r="C475" s="7" t="s">
        <v>69</v>
      </c>
      <c r="D475" s="11" t="s">
        <v>70</v>
      </c>
      <c r="E475" t="s">
        <v>116</v>
      </c>
      <c r="F475" s="7">
        <v>45</v>
      </c>
      <c r="G475" s="7">
        <v>51</v>
      </c>
      <c r="H475" s="7">
        <f t="shared" si="14"/>
        <v>357</v>
      </c>
      <c r="I475" s="7">
        <f t="shared" si="15"/>
        <v>1.0352999999999999</v>
      </c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1:28" ht="15" thickBot="1" x14ac:dyDescent="0.4">
      <c r="A476" s="5" t="s">
        <v>108</v>
      </c>
      <c r="B476" s="7" t="s">
        <v>68</v>
      </c>
      <c r="C476" s="7" t="s">
        <v>69</v>
      </c>
      <c r="D476" s="11" t="s">
        <v>71</v>
      </c>
      <c r="E476" t="s">
        <v>117</v>
      </c>
      <c r="F476" s="7">
        <v>8</v>
      </c>
      <c r="G476" s="7">
        <v>10</v>
      </c>
      <c r="H476" s="7">
        <f t="shared" si="14"/>
        <v>70</v>
      </c>
      <c r="I476" s="7">
        <f t="shared" si="15"/>
        <v>0.20300000000000001</v>
      </c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1:28" ht="15" thickBot="1" x14ac:dyDescent="0.4">
      <c r="A477" s="5" t="s">
        <v>108</v>
      </c>
      <c r="B477" s="7" t="s">
        <v>68</v>
      </c>
      <c r="C477" s="7" t="s">
        <v>69</v>
      </c>
      <c r="D477" s="11" t="s">
        <v>72</v>
      </c>
      <c r="E477" t="s">
        <v>118</v>
      </c>
      <c r="F477" s="7">
        <v>22</v>
      </c>
      <c r="G477" s="7">
        <v>27</v>
      </c>
      <c r="H477" s="7">
        <f t="shared" si="14"/>
        <v>189</v>
      </c>
      <c r="I477" s="7">
        <f t="shared" si="15"/>
        <v>0.54810000000000003</v>
      </c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1:28" ht="15" thickBot="1" x14ac:dyDescent="0.4">
      <c r="A478" s="5" t="s">
        <v>108</v>
      </c>
      <c r="B478" s="7" t="s">
        <v>68</v>
      </c>
      <c r="C478" s="7" t="s">
        <v>69</v>
      </c>
      <c r="D478" s="11" t="s">
        <v>73</v>
      </c>
      <c r="E478" t="s">
        <v>119</v>
      </c>
      <c r="F478" s="7">
        <v>0</v>
      </c>
      <c r="G478" s="7">
        <v>0</v>
      </c>
      <c r="H478" s="7">
        <f t="shared" si="14"/>
        <v>0</v>
      </c>
      <c r="I478" s="7">
        <f t="shared" si="15"/>
        <v>0</v>
      </c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1:28" ht="15" thickBot="1" x14ac:dyDescent="0.4">
      <c r="A479" s="5" t="s">
        <v>108</v>
      </c>
      <c r="B479" s="7" t="s">
        <v>68</v>
      </c>
      <c r="C479" s="7" t="s">
        <v>40</v>
      </c>
      <c r="D479" s="11" t="s">
        <v>74</v>
      </c>
      <c r="E479" t="s">
        <v>120</v>
      </c>
      <c r="F479" s="7">
        <v>5</v>
      </c>
      <c r="G479" s="7">
        <v>8</v>
      </c>
      <c r="H479" s="7">
        <f t="shared" si="14"/>
        <v>56</v>
      </c>
      <c r="I479" s="7">
        <f t="shared" si="15"/>
        <v>0.16240000000000002</v>
      </c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1:28" ht="15" thickBot="1" x14ac:dyDescent="0.4">
      <c r="A480" s="5" t="s">
        <v>108</v>
      </c>
      <c r="B480" s="7" t="s">
        <v>68</v>
      </c>
      <c r="C480" s="7" t="s">
        <v>40</v>
      </c>
      <c r="D480" s="11" t="s">
        <v>75</v>
      </c>
      <c r="E480" s="11" t="s">
        <v>121</v>
      </c>
      <c r="F480" s="7">
        <v>3</v>
      </c>
      <c r="G480" s="7">
        <v>4</v>
      </c>
      <c r="H480" s="7">
        <f t="shared" si="14"/>
        <v>28</v>
      </c>
      <c r="I480" s="7">
        <f t="shared" si="15"/>
        <v>8.1200000000000008E-2</v>
      </c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1:28" ht="15" thickBot="1" x14ac:dyDescent="0.4">
      <c r="A481" s="5" t="s">
        <v>108</v>
      </c>
      <c r="B481" s="7" t="s">
        <v>68</v>
      </c>
      <c r="C481" s="7" t="s">
        <v>40</v>
      </c>
      <c r="D481" s="11" t="s">
        <v>76</v>
      </c>
      <c r="E481" s="11" t="s">
        <v>122</v>
      </c>
      <c r="F481" s="7">
        <v>3</v>
      </c>
      <c r="G481" s="7">
        <v>4</v>
      </c>
      <c r="H481" s="7">
        <f t="shared" si="14"/>
        <v>28</v>
      </c>
      <c r="I481" s="7">
        <f t="shared" si="15"/>
        <v>8.1200000000000008E-2</v>
      </c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1:28" ht="15" thickBot="1" x14ac:dyDescent="0.4">
      <c r="A482" s="5" t="s">
        <v>108</v>
      </c>
      <c r="B482" s="7" t="s">
        <v>68</v>
      </c>
      <c r="C482" s="7" t="s">
        <v>41</v>
      </c>
      <c r="D482" s="11" t="s">
        <v>77</v>
      </c>
      <c r="E482" t="s">
        <v>23</v>
      </c>
      <c r="F482" s="7">
        <v>45</v>
      </c>
      <c r="G482" s="7">
        <v>53</v>
      </c>
      <c r="H482" s="7">
        <f t="shared" si="14"/>
        <v>371</v>
      </c>
      <c r="I482" s="7">
        <f t="shared" si="15"/>
        <v>1.0758999999999999</v>
      </c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1:28" ht="15" thickBot="1" x14ac:dyDescent="0.4">
      <c r="A483" s="5" t="s">
        <v>108</v>
      </c>
      <c r="B483" s="7" t="s">
        <v>68</v>
      </c>
      <c r="C483" s="7" t="s">
        <v>41</v>
      </c>
      <c r="D483" s="11" t="s">
        <v>78</v>
      </c>
      <c r="E483" t="s">
        <v>24</v>
      </c>
      <c r="F483" s="7">
        <v>0</v>
      </c>
      <c r="G483" s="7">
        <v>0</v>
      </c>
      <c r="H483" s="7">
        <f t="shared" si="14"/>
        <v>0</v>
      </c>
      <c r="I483" s="7">
        <f t="shared" si="15"/>
        <v>0</v>
      </c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1:28" ht="15" thickBot="1" x14ac:dyDescent="0.4">
      <c r="A484" s="5" t="s">
        <v>108</v>
      </c>
      <c r="B484" s="7" t="s">
        <v>68</v>
      </c>
      <c r="C484" s="7" t="s">
        <v>42</v>
      </c>
      <c r="D484" s="6" t="s">
        <v>71</v>
      </c>
      <c r="E484" t="s">
        <v>123</v>
      </c>
      <c r="F484" s="7">
        <v>3</v>
      </c>
      <c r="G484" s="7">
        <v>3</v>
      </c>
      <c r="H484" s="7">
        <f t="shared" si="14"/>
        <v>21</v>
      </c>
      <c r="I484" s="7">
        <f t="shared" si="15"/>
        <v>6.0899999999999996E-2</v>
      </c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1:28" ht="15" thickBot="1" x14ac:dyDescent="0.4">
      <c r="A485" s="5" t="s">
        <v>108</v>
      </c>
      <c r="B485" s="7" t="s">
        <v>68</v>
      </c>
      <c r="C485" s="7" t="s">
        <v>42</v>
      </c>
      <c r="D485" s="6" t="s">
        <v>73</v>
      </c>
      <c r="E485" t="s">
        <v>124</v>
      </c>
      <c r="F485" s="7">
        <v>4</v>
      </c>
      <c r="G485" s="7">
        <v>4</v>
      </c>
      <c r="H485" s="7">
        <f t="shared" si="14"/>
        <v>28</v>
      </c>
      <c r="I485" s="7">
        <f t="shared" si="15"/>
        <v>8.1200000000000008E-2</v>
      </c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1:28" ht="15" thickBot="1" x14ac:dyDescent="0.4">
      <c r="A486" s="5" t="s">
        <v>108</v>
      </c>
      <c r="B486" s="7" t="s">
        <v>68</v>
      </c>
      <c r="C486" s="7" t="s">
        <v>42</v>
      </c>
      <c r="D486" s="6" t="s">
        <v>74</v>
      </c>
      <c r="E486" t="s">
        <v>125</v>
      </c>
      <c r="F486" s="7">
        <v>3</v>
      </c>
      <c r="G486" s="7">
        <v>3</v>
      </c>
      <c r="H486" s="7">
        <f t="shared" si="14"/>
        <v>21</v>
      </c>
      <c r="I486" s="7">
        <f t="shared" si="15"/>
        <v>6.0899999999999996E-2</v>
      </c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1:28" ht="15" thickBot="1" x14ac:dyDescent="0.4">
      <c r="A487" s="5" t="s">
        <v>108</v>
      </c>
      <c r="B487" s="7" t="s">
        <v>68</v>
      </c>
      <c r="C487" s="7" t="s">
        <v>42</v>
      </c>
      <c r="D487" s="6" t="s">
        <v>76</v>
      </c>
      <c r="E487" t="s">
        <v>126</v>
      </c>
      <c r="F487" s="7">
        <v>0</v>
      </c>
      <c r="G487" s="7">
        <v>0</v>
      </c>
      <c r="H487" s="7">
        <f t="shared" si="14"/>
        <v>0</v>
      </c>
      <c r="I487" s="7">
        <f t="shared" si="15"/>
        <v>0</v>
      </c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1:28" ht="15" thickBot="1" x14ac:dyDescent="0.4">
      <c r="A488" s="5" t="s">
        <v>108</v>
      </c>
      <c r="B488" s="7" t="s">
        <v>68</v>
      </c>
      <c r="C488" s="7" t="s">
        <v>79</v>
      </c>
      <c r="D488" s="11" t="s">
        <v>79</v>
      </c>
      <c r="E488" t="s">
        <v>25</v>
      </c>
      <c r="F488" s="7">
        <v>20</v>
      </c>
      <c r="G488" s="7">
        <v>22</v>
      </c>
      <c r="H488" s="7">
        <f t="shared" si="14"/>
        <v>154</v>
      </c>
      <c r="I488" s="7">
        <f t="shared" si="15"/>
        <v>0.44659999999999994</v>
      </c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1:28" ht="15" thickBot="1" x14ac:dyDescent="0.4">
      <c r="A489" s="5" t="s">
        <v>108</v>
      </c>
      <c r="B489" s="7" t="s">
        <v>80</v>
      </c>
      <c r="C489" s="7" t="s">
        <v>43</v>
      </c>
      <c r="D489" s="11" t="s">
        <v>43</v>
      </c>
      <c r="E489" t="s">
        <v>26</v>
      </c>
      <c r="F489" s="7">
        <v>60</v>
      </c>
      <c r="G489" s="7">
        <v>60</v>
      </c>
      <c r="H489" s="7">
        <f t="shared" si="14"/>
        <v>420</v>
      </c>
      <c r="I489" s="7">
        <f t="shared" si="15"/>
        <v>1.218</v>
      </c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1:28" ht="15" thickBot="1" x14ac:dyDescent="0.4">
      <c r="A490" s="5" t="s">
        <v>108</v>
      </c>
      <c r="B490" s="7" t="s">
        <v>80</v>
      </c>
      <c r="C490" s="7" t="s">
        <v>43</v>
      </c>
      <c r="D490" s="11" t="s">
        <v>81</v>
      </c>
      <c r="E490" t="s">
        <v>27</v>
      </c>
      <c r="F490" s="7">
        <v>0</v>
      </c>
      <c r="G490" s="7">
        <v>0</v>
      </c>
      <c r="H490" s="7">
        <f t="shared" si="14"/>
        <v>0</v>
      </c>
      <c r="I490" s="7">
        <f t="shared" si="15"/>
        <v>0</v>
      </c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1:28" ht="15" thickBot="1" x14ac:dyDescent="0.4">
      <c r="A491" s="5" t="s">
        <v>108</v>
      </c>
      <c r="B491" s="7" t="s">
        <v>80</v>
      </c>
      <c r="C491" s="7" t="s">
        <v>44</v>
      </c>
      <c r="D491" s="11" t="s">
        <v>82</v>
      </c>
      <c r="E491" t="s">
        <v>127</v>
      </c>
      <c r="F491" s="7">
        <v>30</v>
      </c>
      <c r="G491" s="7">
        <v>37</v>
      </c>
      <c r="H491" s="7">
        <f t="shared" si="14"/>
        <v>259</v>
      </c>
      <c r="I491" s="7">
        <f t="shared" si="15"/>
        <v>0.75109999999999999</v>
      </c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1:28" ht="15" thickBot="1" x14ac:dyDescent="0.4">
      <c r="A492" s="5" t="s">
        <v>108</v>
      </c>
      <c r="B492" s="7" t="s">
        <v>80</v>
      </c>
      <c r="C492" s="7" t="s">
        <v>44</v>
      </c>
      <c r="D492" s="11" t="s">
        <v>83</v>
      </c>
      <c r="E492" t="s">
        <v>28</v>
      </c>
      <c r="F492" s="7">
        <v>10</v>
      </c>
      <c r="G492" s="7">
        <v>12</v>
      </c>
      <c r="H492" s="7">
        <f t="shared" si="14"/>
        <v>84</v>
      </c>
      <c r="I492" s="7">
        <f t="shared" si="15"/>
        <v>0.24359999999999998</v>
      </c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1:28" ht="15" thickBot="1" x14ac:dyDescent="0.4">
      <c r="A493" s="5" t="s">
        <v>108</v>
      </c>
      <c r="B493" s="7" t="s">
        <v>45</v>
      </c>
      <c r="C493" s="7" t="s">
        <v>84</v>
      </c>
      <c r="D493" t="s">
        <v>84</v>
      </c>
      <c r="E493" t="s">
        <v>30</v>
      </c>
      <c r="F493" s="7">
        <v>15</v>
      </c>
      <c r="G493" s="7">
        <v>15</v>
      </c>
      <c r="H493" s="7">
        <f t="shared" si="14"/>
        <v>105</v>
      </c>
      <c r="I493" s="7">
        <f t="shared" si="15"/>
        <v>0.30449999999999999</v>
      </c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1:28" ht="15" thickBot="1" x14ac:dyDescent="0.4">
      <c r="A494" s="5" t="s">
        <v>108</v>
      </c>
      <c r="B494" s="7" t="s">
        <v>45</v>
      </c>
      <c r="C494" s="7" t="s">
        <v>85</v>
      </c>
      <c r="D494" t="s">
        <v>85</v>
      </c>
      <c r="E494" t="s">
        <v>31</v>
      </c>
      <c r="F494" s="7">
        <v>5</v>
      </c>
      <c r="G494" s="7">
        <v>5</v>
      </c>
      <c r="H494" s="7">
        <f t="shared" si="14"/>
        <v>35</v>
      </c>
      <c r="I494" s="7">
        <f t="shared" si="15"/>
        <v>0.10150000000000001</v>
      </c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1:28" ht="15" thickBot="1" x14ac:dyDescent="0.4">
      <c r="A495" s="5" t="s">
        <v>108</v>
      </c>
      <c r="B495" s="7" t="s">
        <v>86</v>
      </c>
      <c r="C495" s="7" t="s">
        <v>87</v>
      </c>
      <c r="D495" s="11" t="s">
        <v>87</v>
      </c>
      <c r="E495" t="s">
        <v>29</v>
      </c>
      <c r="F495" s="7">
        <v>50</v>
      </c>
      <c r="G495" s="7">
        <v>50</v>
      </c>
      <c r="H495" s="7">
        <f t="shared" si="14"/>
        <v>350</v>
      </c>
      <c r="I495" s="7">
        <f t="shared" si="15"/>
        <v>1.0149999999999999</v>
      </c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1:28" ht="15" thickBot="1" x14ac:dyDescent="0.4">
      <c r="A496" s="5" t="s">
        <v>108</v>
      </c>
      <c r="B496" s="7" t="s">
        <v>86</v>
      </c>
      <c r="C496" s="7" t="s">
        <v>46</v>
      </c>
      <c r="D496" s="11" t="s">
        <v>88</v>
      </c>
      <c r="E496" s="11" t="s">
        <v>88</v>
      </c>
      <c r="F496" s="7">
        <v>5</v>
      </c>
      <c r="G496" s="7">
        <v>5</v>
      </c>
      <c r="H496" s="7">
        <f t="shared" si="14"/>
        <v>35</v>
      </c>
      <c r="I496" s="7">
        <f t="shared" si="15"/>
        <v>0.10150000000000001</v>
      </c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1:28" ht="15" thickBot="1" x14ac:dyDescent="0.4">
      <c r="A497" s="5" t="s">
        <v>108</v>
      </c>
      <c r="B497" s="7" t="s">
        <v>86</v>
      </c>
      <c r="C497" s="7" t="s">
        <v>46</v>
      </c>
      <c r="D497" s="11" t="s">
        <v>89</v>
      </c>
      <c r="E497" s="11" t="s">
        <v>89</v>
      </c>
      <c r="F497" s="7">
        <v>0</v>
      </c>
      <c r="G497" s="7">
        <v>0</v>
      </c>
      <c r="H497" s="7">
        <f t="shared" si="14"/>
        <v>0</v>
      </c>
      <c r="I497" s="7">
        <f t="shared" si="15"/>
        <v>0</v>
      </c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1:28" ht="15" thickBot="1" x14ac:dyDescent="0.4">
      <c r="A498" s="5" t="s">
        <v>108</v>
      </c>
      <c r="B498" s="7" t="s">
        <v>86</v>
      </c>
      <c r="C498" s="7" t="s">
        <v>46</v>
      </c>
      <c r="D498" s="11" t="s">
        <v>90</v>
      </c>
      <c r="E498" s="11" t="s">
        <v>90</v>
      </c>
      <c r="F498" s="7">
        <v>15</v>
      </c>
      <c r="G498" s="7">
        <v>15</v>
      </c>
      <c r="H498" s="7">
        <f t="shared" si="14"/>
        <v>105</v>
      </c>
      <c r="I498" s="7">
        <f t="shared" si="15"/>
        <v>0.30449999999999999</v>
      </c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1:28" ht="15" thickBot="1" x14ac:dyDescent="0.4">
      <c r="A499" s="5" t="s">
        <v>108</v>
      </c>
      <c r="B499" s="7" t="s">
        <v>86</v>
      </c>
      <c r="C499" s="7" t="s">
        <v>46</v>
      </c>
      <c r="D499" s="11" t="s">
        <v>91</v>
      </c>
      <c r="E499" s="11" t="s">
        <v>91</v>
      </c>
      <c r="F499" s="7">
        <v>5</v>
      </c>
      <c r="G499" s="7">
        <v>5</v>
      </c>
      <c r="H499" s="7">
        <f t="shared" si="14"/>
        <v>35</v>
      </c>
      <c r="I499" s="7">
        <f t="shared" si="15"/>
        <v>0.10150000000000001</v>
      </c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1:28" ht="15" thickBot="1" x14ac:dyDescent="0.4">
      <c r="A500" s="5" t="s">
        <v>108</v>
      </c>
      <c r="B500" s="7" t="s">
        <v>86</v>
      </c>
      <c r="C500" s="7" t="s">
        <v>92</v>
      </c>
      <c r="D500" t="s">
        <v>93</v>
      </c>
      <c r="E500" t="s">
        <v>93</v>
      </c>
      <c r="F500" s="7">
        <v>8</v>
      </c>
      <c r="G500" s="7">
        <v>9</v>
      </c>
      <c r="H500" s="7">
        <f t="shared" si="14"/>
        <v>63</v>
      </c>
      <c r="I500" s="7">
        <f t="shared" si="15"/>
        <v>0.1827</v>
      </c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1:28" ht="15" thickBot="1" x14ac:dyDescent="0.4">
      <c r="A501" s="5" t="s">
        <v>108</v>
      </c>
      <c r="B501" s="7" t="s">
        <v>86</v>
      </c>
      <c r="C501" s="7" t="s">
        <v>92</v>
      </c>
      <c r="D501" t="s">
        <v>94</v>
      </c>
      <c r="E501" t="s">
        <v>94</v>
      </c>
      <c r="F501" s="7">
        <v>3</v>
      </c>
      <c r="G501" s="7">
        <v>3</v>
      </c>
      <c r="H501" s="7">
        <f t="shared" si="14"/>
        <v>21</v>
      </c>
      <c r="I501" s="7">
        <f t="shared" si="15"/>
        <v>6.0899999999999996E-2</v>
      </c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1:28" ht="15" thickBot="1" x14ac:dyDescent="0.4">
      <c r="A502" s="5" t="s">
        <v>110</v>
      </c>
      <c r="B502" s="7" t="s">
        <v>52</v>
      </c>
      <c r="C502" s="7" t="s">
        <v>35</v>
      </c>
      <c r="D502" s="8" t="s">
        <v>47</v>
      </c>
      <c r="E502" t="s">
        <v>3</v>
      </c>
      <c r="F502" s="7">
        <v>40</v>
      </c>
      <c r="G502" s="7">
        <v>40</v>
      </c>
      <c r="H502" s="7">
        <f t="shared" si="14"/>
        <v>280</v>
      </c>
      <c r="I502" s="7">
        <f t="shared" si="15"/>
        <v>0.81200000000000006</v>
      </c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1:28" ht="15" thickBot="1" x14ac:dyDescent="0.4">
      <c r="A503" s="5" t="s">
        <v>110</v>
      </c>
      <c r="B503" s="7" t="s">
        <v>52</v>
      </c>
      <c r="C503" s="7" t="s">
        <v>35</v>
      </c>
      <c r="D503" s="8" t="s">
        <v>48</v>
      </c>
      <c r="E503" t="s">
        <v>7</v>
      </c>
      <c r="F503" s="7">
        <v>5</v>
      </c>
      <c r="G503" s="7">
        <v>6</v>
      </c>
      <c r="H503" s="7">
        <f t="shared" si="14"/>
        <v>42</v>
      </c>
      <c r="I503" s="7">
        <f t="shared" si="15"/>
        <v>0.12179999999999999</v>
      </c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1:28" ht="15" thickBot="1" x14ac:dyDescent="0.4">
      <c r="A504" s="5" t="s">
        <v>110</v>
      </c>
      <c r="B504" s="7" t="s">
        <v>52</v>
      </c>
      <c r="C504" s="7" t="s">
        <v>35</v>
      </c>
      <c r="D504" s="8" t="s">
        <v>49</v>
      </c>
      <c r="E504" t="s">
        <v>4</v>
      </c>
      <c r="F504" s="7">
        <v>40</v>
      </c>
      <c r="G504" s="7">
        <v>40</v>
      </c>
      <c r="H504" s="7">
        <f t="shared" si="14"/>
        <v>280</v>
      </c>
      <c r="I504" s="7">
        <f t="shared" si="15"/>
        <v>0.81200000000000006</v>
      </c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1:28" ht="15" thickBot="1" x14ac:dyDescent="0.4">
      <c r="A505" s="5" t="s">
        <v>110</v>
      </c>
      <c r="B505" s="7" t="s">
        <v>52</v>
      </c>
      <c r="C505" s="7" t="s">
        <v>35</v>
      </c>
      <c r="D505" s="8" t="s">
        <v>50</v>
      </c>
      <c r="E505" t="s">
        <v>6</v>
      </c>
      <c r="F505" s="7">
        <v>15</v>
      </c>
      <c r="G505" s="7">
        <v>15</v>
      </c>
      <c r="H505" s="7">
        <f t="shared" si="14"/>
        <v>105</v>
      </c>
      <c r="I505" s="7">
        <f t="shared" si="15"/>
        <v>0.30449999999999999</v>
      </c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1:28" ht="15" thickBot="1" x14ac:dyDescent="0.4">
      <c r="A506" s="5" t="s">
        <v>110</v>
      </c>
      <c r="B506" s="7" t="s">
        <v>52</v>
      </c>
      <c r="C506" s="7" t="s">
        <v>35</v>
      </c>
      <c r="D506" s="8" t="s">
        <v>51</v>
      </c>
      <c r="E506" t="s">
        <v>5</v>
      </c>
      <c r="F506" s="7">
        <v>2</v>
      </c>
      <c r="G506" s="7">
        <v>2</v>
      </c>
      <c r="H506" s="7">
        <f t="shared" si="14"/>
        <v>14</v>
      </c>
      <c r="I506" s="7">
        <f t="shared" si="15"/>
        <v>4.0600000000000004E-2</v>
      </c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1:28" ht="15" thickBot="1" x14ac:dyDescent="0.4">
      <c r="A507" s="5" t="s">
        <v>110</v>
      </c>
      <c r="B507" s="7" t="s">
        <v>52</v>
      </c>
      <c r="C507" s="7" t="s">
        <v>37</v>
      </c>
      <c r="D507" s="9" t="s">
        <v>114</v>
      </c>
      <c r="E507" t="s">
        <v>8</v>
      </c>
      <c r="F507" s="7">
        <v>130</v>
      </c>
      <c r="G507" s="7">
        <v>151</v>
      </c>
      <c r="H507" s="7">
        <f t="shared" si="14"/>
        <v>1057</v>
      </c>
      <c r="I507" s="7">
        <f t="shared" si="15"/>
        <v>3.0652999999999997</v>
      </c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1:28" ht="15" thickBot="1" x14ac:dyDescent="0.4">
      <c r="A508" s="5" t="s">
        <v>110</v>
      </c>
      <c r="B508" s="7" t="s">
        <v>52</v>
      </c>
      <c r="C508" s="7" t="s">
        <v>37</v>
      </c>
      <c r="D508" s="8" t="s">
        <v>115</v>
      </c>
      <c r="E508" t="s">
        <v>9</v>
      </c>
      <c r="F508" s="7">
        <v>80</v>
      </c>
      <c r="G508" s="7">
        <v>94</v>
      </c>
      <c r="H508" s="7">
        <f t="shared" si="14"/>
        <v>658</v>
      </c>
      <c r="I508" s="7">
        <f t="shared" si="15"/>
        <v>1.9082000000000001</v>
      </c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1:28" ht="15" thickBot="1" x14ac:dyDescent="0.4">
      <c r="A509" s="5" t="s">
        <v>110</v>
      </c>
      <c r="B509" s="7" t="s">
        <v>52</v>
      </c>
      <c r="C509" s="7" t="s">
        <v>37</v>
      </c>
      <c r="D509" s="10" t="s">
        <v>53</v>
      </c>
      <c r="E509" t="s">
        <v>10</v>
      </c>
      <c r="F509" s="7">
        <v>120</v>
      </c>
      <c r="G509" s="7">
        <v>190</v>
      </c>
      <c r="H509" s="7">
        <f t="shared" si="14"/>
        <v>1330</v>
      </c>
      <c r="I509" s="7">
        <f t="shared" si="15"/>
        <v>3.8570000000000002</v>
      </c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1:28" ht="15" thickBot="1" x14ac:dyDescent="0.4">
      <c r="A510" s="5" t="s">
        <v>110</v>
      </c>
      <c r="B510" s="7" t="s">
        <v>52</v>
      </c>
      <c r="C510" s="7" t="s">
        <v>37</v>
      </c>
      <c r="D510" s="10" t="s">
        <v>96</v>
      </c>
      <c r="E510" t="s">
        <v>113</v>
      </c>
      <c r="F510" s="7">
        <v>0</v>
      </c>
      <c r="G510" s="7">
        <v>0</v>
      </c>
      <c r="H510" s="7">
        <f t="shared" si="14"/>
        <v>0</v>
      </c>
      <c r="I510" s="7">
        <f t="shared" si="15"/>
        <v>0</v>
      </c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1:28" ht="15" thickBot="1" x14ac:dyDescent="0.4">
      <c r="A511" s="5" t="s">
        <v>110</v>
      </c>
      <c r="B511" s="7" t="s">
        <v>52</v>
      </c>
      <c r="C511" s="7" t="s">
        <v>37</v>
      </c>
      <c r="D511" s="10" t="s">
        <v>50</v>
      </c>
      <c r="E511" t="s">
        <v>11</v>
      </c>
      <c r="F511" s="7">
        <v>5</v>
      </c>
      <c r="G511" s="7">
        <v>5</v>
      </c>
      <c r="H511" s="7">
        <f t="shared" si="14"/>
        <v>35</v>
      </c>
      <c r="I511" s="7">
        <f t="shared" si="15"/>
        <v>0.10150000000000001</v>
      </c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1:28" ht="15" thickBot="1" x14ac:dyDescent="0.4">
      <c r="A512" s="5" t="s">
        <v>110</v>
      </c>
      <c r="B512" s="7" t="s">
        <v>54</v>
      </c>
      <c r="C512" s="7" t="s">
        <v>36</v>
      </c>
      <c r="D512" s="8" t="s">
        <v>55</v>
      </c>
      <c r="E512" t="s">
        <v>12</v>
      </c>
      <c r="F512" s="7">
        <v>80</v>
      </c>
      <c r="G512" s="7">
        <v>94</v>
      </c>
      <c r="H512" s="7">
        <f t="shared" si="14"/>
        <v>658</v>
      </c>
      <c r="I512" s="7">
        <f t="shared" si="15"/>
        <v>1.9082000000000001</v>
      </c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1:28" ht="15" thickBot="1" x14ac:dyDescent="0.4">
      <c r="A513" s="5" t="s">
        <v>110</v>
      </c>
      <c r="B513" s="7" t="s">
        <v>54</v>
      </c>
      <c r="C513" s="7" t="s">
        <v>36</v>
      </c>
      <c r="D513" s="8" t="s">
        <v>56</v>
      </c>
      <c r="E513" t="s">
        <v>13</v>
      </c>
      <c r="F513" s="7">
        <v>80</v>
      </c>
      <c r="G513" s="7">
        <v>103</v>
      </c>
      <c r="H513" s="7">
        <f t="shared" si="14"/>
        <v>721</v>
      </c>
      <c r="I513" s="7">
        <f t="shared" si="15"/>
        <v>2.0909</v>
      </c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1:28" ht="15" thickBot="1" x14ac:dyDescent="0.4">
      <c r="A514" s="5" t="s">
        <v>110</v>
      </c>
      <c r="B514" s="7" t="s">
        <v>54</v>
      </c>
      <c r="C514" s="7" t="s">
        <v>36</v>
      </c>
      <c r="D514" s="8" t="s">
        <v>57</v>
      </c>
      <c r="E514" t="s">
        <v>14</v>
      </c>
      <c r="F514" s="7">
        <v>30</v>
      </c>
      <c r="G514" s="7">
        <v>38</v>
      </c>
      <c r="H514" s="7">
        <f t="shared" si="14"/>
        <v>266</v>
      </c>
      <c r="I514" s="7">
        <f t="shared" si="15"/>
        <v>0.77139999999999997</v>
      </c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1:28" ht="15" thickBot="1" x14ac:dyDescent="0.4">
      <c r="A515" s="5" t="s">
        <v>110</v>
      </c>
      <c r="B515" s="7" t="s">
        <v>54</v>
      </c>
      <c r="C515" s="7" t="s">
        <v>38</v>
      </c>
      <c r="D515" s="8" t="s">
        <v>58</v>
      </c>
      <c r="E515" t="s">
        <v>15</v>
      </c>
      <c r="F515" s="7">
        <v>80</v>
      </c>
      <c r="G515" s="7">
        <v>123</v>
      </c>
      <c r="H515" s="7">
        <f t="shared" ref="H515:H578" si="16">G515*7</f>
        <v>861</v>
      </c>
      <c r="I515" s="7">
        <f t="shared" ref="I515:I578" si="17">H515*2.9/(1000)</f>
        <v>2.4969000000000001</v>
      </c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1:28" ht="15" thickBot="1" x14ac:dyDescent="0.4">
      <c r="A516" s="5" t="s">
        <v>110</v>
      </c>
      <c r="B516" s="7" t="s">
        <v>54</v>
      </c>
      <c r="C516" s="7" t="s">
        <v>38</v>
      </c>
      <c r="D516" s="8" t="s">
        <v>59</v>
      </c>
      <c r="E516" t="s">
        <v>16</v>
      </c>
      <c r="F516" s="7">
        <v>25</v>
      </c>
      <c r="G516" s="7">
        <v>37</v>
      </c>
      <c r="H516" s="7">
        <f t="shared" si="16"/>
        <v>259</v>
      </c>
      <c r="I516" s="7">
        <f t="shared" si="17"/>
        <v>0.75109999999999999</v>
      </c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1:28" ht="15" thickBot="1" x14ac:dyDescent="0.4">
      <c r="A517" s="5" t="s">
        <v>110</v>
      </c>
      <c r="B517" s="7" t="s">
        <v>54</v>
      </c>
      <c r="C517" s="7" t="s">
        <v>38</v>
      </c>
      <c r="D517" s="8" t="s">
        <v>60</v>
      </c>
      <c r="E517" t="s">
        <v>17</v>
      </c>
      <c r="F517" s="7">
        <v>80</v>
      </c>
      <c r="G517" s="7">
        <v>123</v>
      </c>
      <c r="H517" s="7">
        <f t="shared" si="16"/>
        <v>861</v>
      </c>
      <c r="I517" s="7">
        <f t="shared" si="17"/>
        <v>2.4969000000000001</v>
      </c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1:28" ht="15" thickBot="1" x14ac:dyDescent="0.4">
      <c r="A518" s="5" t="s">
        <v>110</v>
      </c>
      <c r="B518" s="7" t="s">
        <v>39</v>
      </c>
      <c r="C518" s="7" t="s">
        <v>61</v>
      </c>
      <c r="D518" s="11" t="s">
        <v>97</v>
      </c>
      <c r="E518" t="s">
        <v>18</v>
      </c>
      <c r="F518" s="7">
        <v>100</v>
      </c>
      <c r="G518" s="7">
        <v>100</v>
      </c>
      <c r="H518" s="7">
        <f t="shared" si="16"/>
        <v>700</v>
      </c>
      <c r="I518" s="7">
        <f t="shared" si="17"/>
        <v>2.0299999999999998</v>
      </c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1:28" ht="15" thickBot="1" x14ac:dyDescent="0.4">
      <c r="A519" s="5" t="s">
        <v>110</v>
      </c>
      <c r="B519" s="7" t="s">
        <v>39</v>
      </c>
      <c r="C519" s="7" t="s">
        <v>61</v>
      </c>
      <c r="D519" s="11" t="s">
        <v>62</v>
      </c>
      <c r="E519" t="s">
        <v>19</v>
      </c>
      <c r="F519" s="7">
        <v>0</v>
      </c>
      <c r="G519" s="7">
        <v>0</v>
      </c>
      <c r="H519" s="7">
        <f t="shared" si="16"/>
        <v>0</v>
      </c>
      <c r="I519" s="7">
        <f t="shared" si="17"/>
        <v>0</v>
      </c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1:28" ht="15" thickBot="1" x14ac:dyDescent="0.4">
      <c r="A520" s="5" t="s">
        <v>110</v>
      </c>
      <c r="B520" s="7" t="s">
        <v>39</v>
      </c>
      <c r="C520" s="7" t="s">
        <v>61</v>
      </c>
      <c r="D520" s="11" t="s">
        <v>98</v>
      </c>
      <c r="E520" t="s">
        <v>20</v>
      </c>
      <c r="F520" s="7">
        <v>0</v>
      </c>
      <c r="G520" s="7">
        <v>0</v>
      </c>
      <c r="H520" s="7">
        <f t="shared" si="16"/>
        <v>0</v>
      </c>
      <c r="I520" s="7">
        <f t="shared" si="17"/>
        <v>0</v>
      </c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1:28" ht="15" thickBot="1" x14ac:dyDescent="0.4">
      <c r="A521" s="5" t="s">
        <v>110</v>
      </c>
      <c r="B521" s="7" t="s">
        <v>39</v>
      </c>
      <c r="C521" s="7" t="s">
        <v>61</v>
      </c>
      <c r="D521" s="11" t="s">
        <v>63</v>
      </c>
      <c r="E521" t="s">
        <v>21</v>
      </c>
      <c r="F521" s="7">
        <v>38</v>
      </c>
      <c r="G521" s="7">
        <v>38</v>
      </c>
      <c r="H521" s="7">
        <f t="shared" si="16"/>
        <v>266</v>
      </c>
      <c r="I521" s="7">
        <f t="shared" si="17"/>
        <v>0.77139999999999997</v>
      </c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1:28" ht="15" thickBot="1" x14ac:dyDescent="0.4">
      <c r="A522" s="5" t="s">
        <v>110</v>
      </c>
      <c r="B522" s="7" t="s">
        <v>39</v>
      </c>
      <c r="C522" s="7" t="s">
        <v>64</v>
      </c>
      <c r="D522" s="11" t="s">
        <v>65</v>
      </c>
      <c r="E522" t="s">
        <v>20</v>
      </c>
      <c r="F522" s="7">
        <v>0</v>
      </c>
      <c r="G522" s="7">
        <v>0</v>
      </c>
      <c r="H522" s="7">
        <f t="shared" si="16"/>
        <v>0</v>
      </c>
      <c r="I522" s="7">
        <f t="shared" si="17"/>
        <v>0</v>
      </c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1:28" ht="15" thickBot="1" x14ac:dyDescent="0.4">
      <c r="A523" s="5" t="s">
        <v>110</v>
      </c>
      <c r="B523" s="7" t="s">
        <v>39</v>
      </c>
      <c r="C523" s="7" t="s">
        <v>64</v>
      </c>
      <c r="D523" s="11" t="s">
        <v>66</v>
      </c>
      <c r="E523" t="s">
        <v>20</v>
      </c>
      <c r="F523" s="7">
        <v>0</v>
      </c>
      <c r="G523" s="7">
        <v>0</v>
      </c>
      <c r="H523" s="7">
        <f t="shared" si="16"/>
        <v>0</v>
      </c>
      <c r="I523" s="7">
        <f t="shared" si="17"/>
        <v>0</v>
      </c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1:28" ht="15" thickBot="1" x14ac:dyDescent="0.4">
      <c r="A524" s="5" t="s">
        <v>110</v>
      </c>
      <c r="B524" s="7" t="s">
        <v>39</v>
      </c>
      <c r="C524" s="7" t="s">
        <v>64</v>
      </c>
      <c r="D524" s="11" t="s">
        <v>67</v>
      </c>
      <c r="E524" t="s">
        <v>22</v>
      </c>
      <c r="F524" s="7">
        <v>40</v>
      </c>
      <c r="G524" s="7">
        <v>40</v>
      </c>
      <c r="H524" s="7">
        <f t="shared" si="16"/>
        <v>280</v>
      </c>
      <c r="I524" s="7">
        <f t="shared" si="17"/>
        <v>0.81200000000000006</v>
      </c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1:28" ht="15" thickBot="1" x14ac:dyDescent="0.4">
      <c r="A525" s="5" t="s">
        <v>110</v>
      </c>
      <c r="B525" s="7" t="s">
        <v>68</v>
      </c>
      <c r="C525" s="7" t="s">
        <v>69</v>
      </c>
      <c r="D525" s="11" t="s">
        <v>70</v>
      </c>
      <c r="E525" t="s">
        <v>116</v>
      </c>
      <c r="F525" s="7">
        <v>30</v>
      </c>
      <c r="G525" s="7">
        <v>34</v>
      </c>
      <c r="H525" s="7">
        <f t="shared" si="16"/>
        <v>238</v>
      </c>
      <c r="I525" s="7">
        <f t="shared" si="17"/>
        <v>0.69019999999999992</v>
      </c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1:28" ht="15" thickBot="1" x14ac:dyDescent="0.4">
      <c r="A526" s="5" t="s">
        <v>110</v>
      </c>
      <c r="B526" s="7" t="s">
        <v>68</v>
      </c>
      <c r="C526" s="7" t="s">
        <v>69</v>
      </c>
      <c r="D526" s="11" t="s">
        <v>71</v>
      </c>
      <c r="E526" t="s">
        <v>117</v>
      </c>
      <c r="F526" s="7">
        <v>5</v>
      </c>
      <c r="G526" s="7">
        <v>6</v>
      </c>
      <c r="H526" s="7">
        <f t="shared" si="16"/>
        <v>42</v>
      </c>
      <c r="I526" s="7">
        <f t="shared" si="17"/>
        <v>0.12179999999999999</v>
      </c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1:28" ht="15" thickBot="1" x14ac:dyDescent="0.4">
      <c r="A527" s="5" t="s">
        <v>110</v>
      </c>
      <c r="B527" s="7" t="s">
        <v>68</v>
      </c>
      <c r="C527" s="7" t="s">
        <v>69</v>
      </c>
      <c r="D527" s="11" t="s">
        <v>72</v>
      </c>
      <c r="E527" t="s">
        <v>118</v>
      </c>
      <c r="F527" s="7">
        <v>8</v>
      </c>
      <c r="G527" s="7">
        <v>10</v>
      </c>
      <c r="H527" s="7">
        <f t="shared" si="16"/>
        <v>70</v>
      </c>
      <c r="I527" s="7">
        <f t="shared" si="17"/>
        <v>0.20300000000000001</v>
      </c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1:28" ht="15" thickBot="1" x14ac:dyDescent="0.4">
      <c r="A528" s="5" t="s">
        <v>110</v>
      </c>
      <c r="B528" s="7" t="s">
        <v>68</v>
      </c>
      <c r="C528" s="7" t="s">
        <v>69</v>
      </c>
      <c r="D528" s="11" t="s">
        <v>73</v>
      </c>
      <c r="E528" t="s">
        <v>119</v>
      </c>
      <c r="F528" s="7">
        <v>0</v>
      </c>
      <c r="G528" s="7">
        <v>0</v>
      </c>
      <c r="H528" s="7">
        <f t="shared" si="16"/>
        <v>0</v>
      </c>
      <c r="I528" s="7">
        <f t="shared" si="17"/>
        <v>0</v>
      </c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1:28" ht="15" thickBot="1" x14ac:dyDescent="0.4">
      <c r="A529" s="5" t="s">
        <v>110</v>
      </c>
      <c r="B529" s="7" t="s">
        <v>68</v>
      </c>
      <c r="C529" s="7" t="s">
        <v>40</v>
      </c>
      <c r="D529" s="11" t="s">
        <v>74</v>
      </c>
      <c r="E529" t="s">
        <v>120</v>
      </c>
      <c r="F529" s="7">
        <v>5</v>
      </c>
      <c r="G529" s="7">
        <v>8</v>
      </c>
      <c r="H529" s="7">
        <f t="shared" si="16"/>
        <v>56</v>
      </c>
      <c r="I529" s="7">
        <f t="shared" si="17"/>
        <v>0.16240000000000002</v>
      </c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1:28" ht="15" thickBot="1" x14ac:dyDescent="0.4">
      <c r="A530" s="5" t="s">
        <v>110</v>
      </c>
      <c r="B530" s="7" t="s">
        <v>68</v>
      </c>
      <c r="C530" s="7" t="s">
        <v>40</v>
      </c>
      <c r="D530" s="11" t="s">
        <v>75</v>
      </c>
      <c r="E530" s="11" t="s">
        <v>121</v>
      </c>
      <c r="F530" s="7">
        <v>2</v>
      </c>
      <c r="G530" s="7">
        <v>3</v>
      </c>
      <c r="H530" s="7">
        <f t="shared" si="16"/>
        <v>21</v>
      </c>
      <c r="I530" s="7">
        <f t="shared" si="17"/>
        <v>6.0899999999999996E-2</v>
      </c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1:28" ht="15" thickBot="1" x14ac:dyDescent="0.4">
      <c r="A531" s="5" t="s">
        <v>110</v>
      </c>
      <c r="B531" s="7" t="s">
        <v>68</v>
      </c>
      <c r="C531" s="7" t="s">
        <v>40</v>
      </c>
      <c r="D531" s="11" t="s">
        <v>76</v>
      </c>
      <c r="E531" s="11" t="s">
        <v>122</v>
      </c>
      <c r="F531" s="7">
        <v>2</v>
      </c>
      <c r="G531" s="7">
        <v>3</v>
      </c>
      <c r="H531" s="7">
        <f t="shared" si="16"/>
        <v>21</v>
      </c>
      <c r="I531" s="7">
        <f t="shared" si="17"/>
        <v>6.0899999999999996E-2</v>
      </c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1:28" ht="15" thickBot="1" x14ac:dyDescent="0.4">
      <c r="A532" s="5" t="s">
        <v>110</v>
      </c>
      <c r="B532" s="7" t="s">
        <v>68</v>
      </c>
      <c r="C532" s="7" t="s">
        <v>41</v>
      </c>
      <c r="D532" s="11" t="s">
        <v>77</v>
      </c>
      <c r="E532" t="s">
        <v>23</v>
      </c>
      <c r="F532" s="7">
        <v>75</v>
      </c>
      <c r="G532" s="7">
        <v>88</v>
      </c>
      <c r="H532" s="7">
        <f t="shared" si="16"/>
        <v>616</v>
      </c>
      <c r="I532" s="7">
        <f t="shared" si="17"/>
        <v>1.7863999999999998</v>
      </c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1:28" ht="15" thickBot="1" x14ac:dyDescent="0.4">
      <c r="A533" s="5" t="s">
        <v>110</v>
      </c>
      <c r="B533" s="7" t="s">
        <v>68</v>
      </c>
      <c r="C533" s="7" t="s">
        <v>41</v>
      </c>
      <c r="D533" s="11" t="s">
        <v>78</v>
      </c>
      <c r="E533" t="s">
        <v>24</v>
      </c>
      <c r="F533" s="7">
        <v>0</v>
      </c>
      <c r="G533" s="7">
        <v>0</v>
      </c>
      <c r="H533" s="7">
        <f t="shared" si="16"/>
        <v>0</v>
      </c>
      <c r="I533" s="7">
        <f t="shared" si="17"/>
        <v>0</v>
      </c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1:28" ht="15" thickBot="1" x14ac:dyDescent="0.4">
      <c r="A534" s="5" t="s">
        <v>110</v>
      </c>
      <c r="B534" s="7" t="s">
        <v>68</v>
      </c>
      <c r="C534" s="7" t="s">
        <v>42</v>
      </c>
      <c r="D534" s="6" t="s">
        <v>71</v>
      </c>
      <c r="E534" t="s">
        <v>123</v>
      </c>
      <c r="F534" s="7">
        <v>4</v>
      </c>
      <c r="G534" s="7">
        <v>5</v>
      </c>
      <c r="H534" s="7">
        <f t="shared" si="16"/>
        <v>35</v>
      </c>
      <c r="I534" s="7">
        <f t="shared" si="17"/>
        <v>0.10150000000000001</v>
      </c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1:28" ht="15" thickBot="1" x14ac:dyDescent="0.4">
      <c r="A535" s="5" t="s">
        <v>110</v>
      </c>
      <c r="B535" s="7" t="s">
        <v>68</v>
      </c>
      <c r="C535" s="7" t="s">
        <v>42</v>
      </c>
      <c r="D535" s="6" t="s">
        <v>73</v>
      </c>
      <c r="E535" t="s">
        <v>124</v>
      </c>
      <c r="F535" s="7">
        <v>0</v>
      </c>
      <c r="G535" s="7">
        <v>0</v>
      </c>
      <c r="H535" s="7">
        <f t="shared" si="16"/>
        <v>0</v>
      </c>
      <c r="I535" s="7">
        <f t="shared" si="17"/>
        <v>0</v>
      </c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1:28" ht="15" thickBot="1" x14ac:dyDescent="0.4">
      <c r="A536" s="5" t="s">
        <v>110</v>
      </c>
      <c r="B536" s="7" t="s">
        <v>68</v>
      </c>
      <c r="C536" s="7" t="s">
        <v>42</v>
      </c>
      <c r="D536" s="6" t="s">
        <v>74</v>
      </c>
      <c r="E536" t="s">
        <v>125</v>
      </c>
      <c r="F536" s="7">
        <v>4</v>
      </c>
      <c r="G536" s="7">
        <v>5</v>
      </c>
      <c r="H536" s="7">
        <f t="shared" si="16"/>
        <v>35</v>
      </c>
      <c r="I536" s="7">
        <f t="shared" si="17"/>
        <v>0.10150000000000001</v>
      </c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1:28" ht="15" thickBot="1" x14ac:dyDescent="0.4">
      <c r="A537" s="5" t="s">
        <v>110</v>
      </c>
      <c r="B537" s="7" t="s">
        <v>68</v>
      </c>
      <c r="C537" s="7" t="s">
        <v>42</v>
      </c>
      <c r="D537" s="6" t="s">
        <v>76</v>
      </c>
      <c r="E537" t="s">
        <v>126</v>
      </c>
      <c r="F537" s="7">
        <v>0</v>
      </c>
      <c r="G537" s="7">
        <v>0</v>
      </c>
      <c r="H537" s="7">
        <f t="shared" si="16"/>
        <v>0</v>
      </c>
      <c r="I537" s="7">
        <f t="shared" si="17"/>
        <v>0</v>
      </c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1:28" ht="15" thickBot="1" x14ac:dyDescent="0.4">
      <c r="A538" s="5" t="s">
        <v>110</v>
      </c>
      <c r="B538" s="7" t="s">
        <v>68</v>
      </c>
      <c r="C538" s="7" t="s">
        <v>79</v>
      </c>
      <c r="D538" s="11" t="s">
        <v>79</v>
      </c>
      <c r="E538" t="s">
        <v>25</v>
      </c>
      <c r="F538" s="7">
        <v>22</v>
      </c>
      <c r="G538" s="7">
        <v>25</v>
      </c>
      <c r="H538" s="7">
        <f t="shared" si="16"/>
        <v>175</v>
      </c>
      <c r="I538" s="7">
        <f t="shared" si="17"/>
        <v>0.50749999999999995</v>
      </c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1:28" ht="15" thickBot="1" x14ac:dyDescent="0.4">
      <c r="A539" s="5" t="s">
        <v>110</v>
      </c>
      <c r="B539" s="7" t="s">
        <v>80</v>
      </c>
      <c r="C539" s="7" t="s">
        <v>43</v>
      </c>
      <c r="D539" s="11" t="s">
        <v>43</v>
      </c>
      <c r="E539" t="s">
        <v>26</v>
      </c>
      <c r="F539" s="7">
        <v>80</v>
      </c>
      <c r="G539" s="7">
        <v>80</v>
      </c>
      <c r="H539" s="7">
        <f t="shared" si="16"/>
        <v>560</v>
      </c>
      <c r="I539" s="7">
        <f t="shared" si="17"/>
        <v>1.6240000000000001</v>
      </c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1:28" ht="15" thickBot="1" x14ac:dyDescent="0.4">
      <c r="A540" s="5" t="s">
        <v>110</v>
      </c>
      <c r="B540" s="7" t="s">
        <v>80</v>
      </c>
      <c r="C540" s="7" t="s">
        <v>43</v>
      </c>
      <c r="D540" s="11" t="s">
        <v>81</v>
      </c>
      <c r="E540" t="s">
        <v>27</v>
      </c>
      <c r="F540" s="7">
        <v>0</v>
      </c>
      <c r="G540" s="7">
        <v>0</v>
      </c>
      <c r="H540" s="7">
        <f t="shared" si="16"/>
        <v>0</v>
      </c>
      <c r="I540" s="7">
        <f t="shared" si="17"/>
        <v>0</v>
      </c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1:28" ht="15" thickBot="1" x14ac:dyDescent="0.4">
      <c r="A541" s="5" t="s">
        <v>110</v>
      </c>
      <c r="B541" s="7" t="s">
        <v>80</v>
      </c>
      <c r="C541" s="7" t="s">
        <v>44</v>
      </c>
      <c r="D541" s="11" t="s">
        <v>82</v>
      </c>
      <c r="E541" t="s">
        <v>127</v>
      </c>
      <c r="F541" s="7">
        <v>10</v>
      </c>
      <c r="G541" s="7">
        <v>12</v>
      </c>
      <c r="H541" s="7">
        <f t="shared" si="16"/>
        <v>84</v>
      </c>
      <c r="I541" s="7">
        <f t="shared" si="17"/>
        <v>0.24359999999999998</v>
      </c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1:28" ht="15" thickBot="1" x14ac:dyDescent="0.4">
      <c r="A542" s="5" t="s">
        <v>110</v>
      </c>
      <c r="B542" s="7" t="s">
        <v>80</v>
      </c>
      <c r="C542" s="7" t="s">
        <v>44</v>
      </c>
      <c r="D542" s="11" t="s">
        <v>83</v>
      </c>
      <c r="E542" t="s">
        <v>28</v>
      </c>
      <c r="F542" s="7">
        <v>10</v>
      </c>
      <c r="G542" s="7">
        <v>12</v>
      </c>
      <c r="H542" s="7">
        <f t="shared" si="16"/>
        <v>84</v>
      </c>
      <c r="I542" s="7">
        <f t="shared" si="17"/>
        <v>0.24359999999999998</v>
      </c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1:28" ht="15" thickBot="1" x14ac:dyDescent="0.4">
      <c r="A543" s="5" t="s">
        <v>110</v>
      </c>
      <c r="B543" s="7" t="s">
        <v>45</v>
      </c>
      <c r="C543" s="7" t="s">
        <v>84</v>
      </c>
      <c r="D543" t="s">
        <v>84</v>
      </c>
      <c r="E543" t="s">
        <v>30</v>
      </c>
      <c r="F543" s="7">
        <v>15</v>
      </c>
      <c r="G543" s="7">
        <v>15</v>
      </c>
      <c r="H543" s="7">
        <f t="shared" si="16"/>
        <v>105</v>
      </c>
      <c r="I543" s="7">
        <f t="shared" si="17"/>
        <v>0.30449999999999999</v>
      </c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1:28" ht="15" thickBot="1" x14ac:dyDescent="0.4">
      <c r="A544" s="5" t="s">
        <v>110</v>
      </c>
      <c r="B544" s="7" t="s">
        <v>45</v>
      </c>
      <c r="C544" s="7" t="s">
        <v>85</v>
      </c>
      <c r="D544" t="s">
        <v>85</v>
      </c>
      <c r="E544" t="s">
        <v>31</v>
      </c>
      <c r="F544" s="7">
        <v>5</v>
      </c>
      <c r="G544" s="7">
        <v>5</v>
      </c>
      <c r="H544" s="7">
        <f t="shared" si="16"/>
        <v>35</v>
      </c>
      <c r="I544" s="7">
        <f t="shared" si="17"/>
        <v>0.10150000000000001</v>
      </c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1:28" ht="15" thickBot="1" x14ac:dyDescent="0.4">
      <c r="A545" s="5" t="s">
        <v>110</v>
      </c>
      <c r="B545" s="7" t="s">
        <v>86</v>
      </c>
      <c r="C545" s="7" t="s">
        <v>87</v>
      </c>
      <c r="D545" s="11" t="s">
        <v>87</v>
      </c>
      <c r="E545" t="s">
        <v>29</v>
      </c>
      <c r="F545" s="7">
        <v>50</v>
      </c>
      <c r="G545" s="7">
        <v>50</v>
      </c>
      <c r="H545" s="7">
        <f t="shared" si="16"/>
        <v>350</v>
      </c>
      <c r="I545" s="7">
        <f t="shared" si="17"/>
        <v>1.0149999999999999</v>
      </c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1:28" ht="15" thickBot="1" x14ac:dyDescent="0.4">
      <c r="A546" s="5" t="s">
        <v>110</v>
      </c>
      <c r="B546" s="7" t="s">
        <v>86</v>
      </c>
      <c r="C546" s="7" t="s">
        <v>46</v>
      </c>
      <c r="D546" s="11" t="s">
        <v>88</v>
      </c>
      <c r="E546" s="11" t="s">
        <v>88</v>
      </c>
      <c r="F546" s="7">
        <v>5</v>
      </c>
      <c r="G546" s="7">
        <v>5</v>
      </c>
      <c r="H546" s="7">
        <f t="shared" si="16"/>
        <v>35</v>
      </c>
      <c r="I546" s="7">
        <f t="shared" si="17"/>
        <v>0.10150000000000001</v>
      </c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1:28" ht="15" thickBot="1" x14ac:dyDescent="0.4">
      <c r="A547" s="5" t="s">
        <v>110</v>
      </c>
      <c r="B547" s="7" t="s">
        <v>86</v>
      </c>
      <c r="C547" s="7" t="s">
        <v>46</v>
      </c>
      <c r="D547" s="11" t="s">
        <v>89</v>
      </c>
      <c r="E547" s="11" t="s">
        <v>89</v>
      </c>
      <c r="F547" s="7">
        <v>0</v>
      </c>
      <c r="G547" s="7">
        <v>0</v>
      </c>
      <c r="H547" s="7">
        <f t="shared" si="16"/>
        <v>0</v>
      </c>
      <c r="I547" s="7">
        <f t="shared" si="17"/>
        <v>0</v>
      </c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1:28" ht="15" thickBot="1" x14ac:dyDescent="0.4">
      <c r="A548" s="5" t="s">
        <v>110</v>
      </c>
      <c r="B548" s="7" t="s">
        <v>86</v>
      </c>
      <c r="C548" s="7" t="s">
        <v>46</v>
      </c>
      <c r="D548" s="11" t="s">
        <v>90</v>
      </c>
      <c r="E548" s="11" t="s">
        <v>90</v>
      </c>
      <c r="F548" s="7">
        <v>15</v>
      </c>
      <c r="G548" s="7">
        <v>15</v>
      </c>
      <c r="H548" s="7">
        <f t="shared" si="16"/>
        <v>105</v>
      </c>
      <c r="I548" s="7">
        <f t="shared" si="17"/>
        <v>0.30449999999999999</v>
      </c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1:28" ht="15" thickBot="1" x14ac:dyDescent="0.4">
      <c r="A549" s="5" t="s">
        <v>110</v>
      </c>
      <c r="B549" s="7" t="s">
        <v>86</v>
      </c>
      <c r="C549" s="7" t="s">
        <v>46</v>
      </c>
      <c r="D549" s="11" t="s">
        <v>91</v>
      </c>
      <c r="E549" s="11" t="s">
        <v>91</v>
      </c>
      <c r="F549" s="7">
        <v>5</v>
      </c>
      <c r="G549" s="7">
        <v>5</v>
      </c>
      <c r="H549" s="7">
        <f t="shared" si="16"/>
        <v>35</v>
      </c>
      <c r="I549" s="7">
        <f t="shared" si="17"/>
        <v>0.10150000000000001</v>
      </c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1:28" ht="15" thickBot="1" x14ac:dyDescent="0.4">
      <c r="A550" s="5" t="s">
        <v>110</v>
      </c>
      <c r="B550" s="7" t="s">
        <v>86</v>
      </c>
      <c r="C550" s="7" t="s">
        <v>92</v>
      </c>
      <c r="D550" t="s">
        <v>93</v>
      </c>
      <c r="E550" t="s">
        <v>93</v>
      </c>
      <c r="F550" s="7">
        <v>8</v>
      </c>
      <c r="G550" s="7">
        <v>9</v>
      </c>
      <c r="H550" s="7">
        <f t="shared" si="16"/>
        <v>63</v>
      </c>
      <c r="I550" s="7">
        <f t="shared" si="17"/>
        <v>0.1827</v>
      </c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1:28" ht="15" thickBot="1" x14ac:dyDescent="0.4">
      <c r="A551" s="5" t="s">
        <v>110</v>
      </c>
      <c r="B551" s="7" t="s">
        <v>86</v>
      </c>
      <c r="C551" s="7" t="s">
        <v>92</v>
      </c>
      <c r="D551" t="s">
        <v>94</v>
      </c>
      <c r="E551" t="s">
        <v>94</v>
      </c>
      <c r="F551" s="7">
        <v>3</v>
      </c>
      <c r="G551" s="7">
        <v>3</v>
      </c>
      <c r="H551" s="7">
        <f t="shared" si="16"/>
        <v>21</v>
      </c>
      <c r="I551" s="7">
        <f t="shared" si="17"/>
        <v>6.0899999999999996E-2</v>
      </c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1:28" ht="15" thickBot="1" x14ac:dyDescent="0.4">
      <c r="A552" s="5" t="s">
        <v>109</v>
      </c>
      <c r="B552" s="7" t="s">
        <v>52</v>
      </c>
      <c r="C552" s="7" t="s">
        <v>35</v>
      </c>
      <c r="D552" s="8" t="s">
        <v>47</v>
      </c>
      <c r="E552" t="s">
        <v>3</v>
      </c>
      <c r="F552" s="7">
        <v>35</v>
      </c>
      <c r="G552" s="7">
        <v>35</v>
      </c>
      <c r="H552" s="7">
        <f t="shared" si="16"/>
        <v>245</v>
      </c>
      <c r="I552" s="7">
        <f t="shared" si="17"/>
        <v>0.71050000000000002</v>
      </c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1:28" ht="15" thickBot="1" x14ac:dyDescent="0.4">
      <c r="A553" s="5" t="s">
        <v>109</v>
      </c>
      <c r="B553" s="7" t="s">
        <v>52</v>
      </c>
      <c r="C553" s="7" t="s">
        <v>35</v>
      </c>
      <c r="D553" s="8" t="s">
        <v>48</v>
      </c>
      <c r="E553" t="s">
        <v>7</v>
      </c>
      <c r="F553" s="7">
        <v>5</v>
      </c>
      <c r="G553" s="7">
        <v>6</v>
      </c>
      <c r="H553" s="7">
        <f t="shared" si="16"/>
        <v>42</v>
      </c>
      <c r="I553" s="7">
        <f t="shared" si="17"/>
        <v>0.12179999999999999</v>
      </c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1:28" ht="15" thickBot="1" x14ac:dyDescent="0.4">
      <c r="A554" s="5" t="s">
        <v>109</v>
      </c>
      <c r="B554" s="7" t="s">
        <v>52</v>
      </c>
      <c r="C554" s="7" t="s">
        <v>35</v>
      </c>
      <c r="D554" s="8" t="s">
        <v>49</v>
      </c>
      <c r="E554" t="s">
        <v>4</v>
      </c>
      <c r="F554" s="7">
        <v>35</v>
      </c>
      <c r="G554" s="7">
        <v>35</v>
      </c>
      <c r="H554" s="7">
        <f t="shared" si="16"/>
        <v>245</v>
      </c>
      <c r="I554" s="7">
        <f t="shared" si="17"/>
        <v>0.71050000000000002</v>
      </c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1:28" ht="15" thickBot="1" x14ac:dyDescent="0.4">
      <c r="A555" s="5" t="s">
        <v>109</v>
      </c>
      <c r="B555" s="7" t="s">
        <v>52</v>
      </c>
      <c r="C555" s="7" t="s">
        <v>35</v>
      </c>
      <c r="D555" s="8" t="s">
        <v>50</v>
      </c>
      <c r="E555" t="s">
        <v>6</v>
      </c>
      <c r="F555" s="7">
        <v>12</v>
      </c>
      <c r="G555" s="7">
        <v>12</v>
      </c>
      <c r="H555" s="7">
        <f t="shared" si="16"/>
        <v>84</v>
      </c>
      <c r="I555" s="7">
        <f t="shared" si="17"/>
        <v>0.24359999999999998</v>
      </c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1:28" ht="15" thickBot="1" x14ac:dyDescent="0.4">
      <c r="A556" s="5" t="s">
        <v>109</v>
      </c>
      <c r="B556" s="7" t="s">
        <v>52</v>
      </c>
      <c r="C556" s="7" t="s">
        <v>35</v>
      </c>
      <c r="D556" s="8" t="s">
        <v>51</v>
      </c>
      <c r="E556" t="s">
        <v>5</v>
      </c>
      <c r="F556" s="7">
        <v>2</v>
      </c>
      <c r="G556" s="7">
        <v>2</v>
      </c>
      <c r="H556" s="7">
        <f t="shared" si="16"/>
        <v>14</v>
      </c>
      <c r="I556" s="7">
        <f t="shared" si="17"/>
        <v>4.0600000000000004E-2</v>
      </c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1:28" ht="15" thickBot="1" x14ac:dyDescent="0.4">
      <c r="A557" s="5" t="s">
        <v>109</v>
      </c>
      <c r="B557" s="7" t="s">
        <v>52</v>
      </c>
      <c r="C557" s="7" t="s">
        <v>37</v>
      </c>
      <c r="D557" s="9" t="s">
        <v>114</v>
      </c>
      <c r="E557" t="s">
        <v>8</v>
      </c>
      <c r="F557" s="7">
        <v>100</v>
      </c>
      <c r="G557" s="7">
        <v>116</v>
      </c>
      <c r="H557" s="7">
        <f t="shared" si="16"/>
        <v>812</v>
      </c>
      <c r="I557" s="7">
        <f t="shared" si="17"/>
        <v>2.3547999999999996</v>
      </c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1:28" ht="15" thickBot="1" x14ac:dyDescent="0.4">
      <c r="A558" s="5" t="s">
        <v>109</v>
      </c>
      <c r="B558" s="7" t="s">
        <v>52</v>
      </c>
      <c r="C558" s="7" t="s">
        <v>37</v>
      </c>
      <c r="D558" s="8" t="s">
        <v>115</v>
      </c>
      <c r="E558" t="s">
        <v>9</v>
      </c>
      <c r="F558" s="7">
        <v>80</v>
      </c>
      <c r="G558" s="7">
        <v>94</v>
      </c>
      <c r="H558" s="7">
        <f t="shared" si="16"/>
        <v>658</v>
      </c>
      <c r="I558" s="7">
        <f t="shared" si="17"/>
        <v>1.9082000000000001</v>
      </c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1:28" ht="15" thickBot="1" x14ac:dyDescent="0.4">
      <c r="A559" s="5" t="s">
        <v>109</v>
      </c>
      <c r="B559" s="7" t="s">
        <v>52</v>
      </c>
      <c r="C559" s="7" t="s">
        <v>37</v>
      </c>
      <c r="D559" s="10" t="s">
        <v>53</v>
      </c>
      <c r="E559" t="s">
        <v>10</v>
      </c>
      <c r="F559" s="7">
        <v>110</v>
      </c>
      <c r="G559" s="7">
        <v>175</v>
      </c>
      <c r="H559" s="7">
        <f t="shared" si="16"/>
        <v>1225</v>
      </c>
      <c r="I559" s="7">
        <f t="shared" si="17"/>
        <v>3.5525000000000002</v>
      </c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1:28" ht="15" thickBot="1" x14ac:dyDescent="0.4">
      <c r="A560" s="5" t="s">
        <v>109</v>
      </c>
      <c r="B560" s="7" t="s">
        <v>52</v>
      </c>
      <c r="C560" s="7" t="s">
        <v>37</v>
      </c>
      <c r="D560" s="10" t="s">
        <v>96</v>
      </c>
      <c r="E560" t="s">
        <v>113</v>
      </c>
      <c r="F560" s="7">
        <v>0</v>
      </c>
      <c r="G560" s="7">
        <v>0</v>
      </c>
      <c r="H560" s="7">
        <f t="shared" si="16"/>
        <v>0</v>
      </c>
      <c r="I560" s="7">
        <f t="shared" si="17"/>
        <v>0</v>
      </c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1:28" ht="15" thickBot="1" x14ac:dyDescent="0.4">
      <c r="A561" s="5" t="s">
        <v>109</v>
      </c>
      <c r="B561" s="7" t="s">
        <v>52</v>
      </c>
      <c r="C561" s="7" t="s">
        <v>37</v>
      </c>
      <c r="D561" s="10" t="s">
        <v>50</v>
      </c>
      <c r="E561" t="s">
        <v>11</v>
      </c>
      <c r="F561" s="7">
        <v>10</v>
      </c>
      <c r="G561" s="7">
        <v>10</v>
      </c>
      <c r="H561" s="7">
        <f t="shared" si="16"/>
        <v>70</v>
      </c>
      <c r="I561" s="7">
        <f t="shared" si="17"/>
        <v>0.20300000000000001</v>
      </c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1:28" ht="15" thickBot="1" x14ac:dyDescent="0.4">
      <c r="A562" s="5" t="s">
        <v>109</v>
      </c>
      <c r="B562" s="7" t="s">
        <v>54</v>
      </c>
      <c r="C562" s="7" t="s">
        <v>36</v>
      </c>
      <c r="D562" s="8" t="s">
        <v>55</v>
      </c>
      <c r="E562" t="s">
        <v>12</v>
      </c>
      <c r="F562" s="7">
        <v>80</v>
      </c>
      <c r="G562" s="7">
        <v>94</v>
      </c>
      <c r="H562" s="7">
        <f t="shared" si="16"/>
        <v>658</v>
      </c>
      <c r="I562" s="7">
        <f t="shared" si="17"/>
        <v>1.9082000000000001</v>
      </c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1:28" ht="15" thickBot="1" x14ac:dyDescent="0.4">
      <c r="A563" s="5" t="s">
        <v>109</v>
      </c>
      <c r="B563" s="7" t="s">
        <v>54</v>
      </c>
      <c r="C563" s="7" t="s">
        <v>36</v>
      </c>
      <c r="D563" s="8" t="s">
        <v>56</v>
      </c>
      <c r="E563" t="s">
        <v>13</v>
      </c>
      <c r="F563" s="7">
        <v>80</v>
      </c>
      <c r="G563" s="7">
        <v>103</v>
      </c>
      <c r="H563" s="7">
        <f t="shared" si="16"/>
        <v>721</v>
      </c>
      <c r="I563" s="7">
        <f t="shared" si="17"/>
        <v>2.0909</v>
      </c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1:28" ht="15" thickBot="1" x14ac:dyDescent="0.4">
      <c r="A564" s="5" t="s">
        <v>109</v>
      </c>
      <c r="B564" s="7" t="s">
        <v>54</v>
      </c>
      <c r="C564" s="7" t="s">
        <v>36</v>
      </c>
      <c r="D564" s="8" t="s">
        <v>57</v>
      </c>
      <c r="E564" t="s">
        <v>14</v>
      </c>
      <c r="F564" s="7">
        <v>30</v>
      </c>
      <c r="G564" s="7">
        <v>38</v>
      </c>
      <c r="H564" s="7">
        <f t="shared" si="16"/>
        <v>266</v>
      </c>
      <c r="I564" s="7">
        <f t="shared" si="17"/>
        <v>0.77139999999999997</v>
      </c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1:28" ht="15" thickBot="1" x14ac:dyDescent="0.4">
      <c r="A565" s="5" t="s">
        <v>109</v>
      </c>
      <c r="B565" s="7" t="s">
        <v>54</v>
      </c>
      <c r="C565" s="7" t="s">
        <v>38</v>
      </c>
      <c r="D565" s="8" t="s">
        <v>58</v>
      </c>
      <c r="E565" t="s">
        <v>15</v>
      </c>
      <c r="F565" s="7">
        <v>80</v>
      </c>
      <c r="G565" s="7">
        <v>123</v>
      </c>
      <c r="H565" s="7">
        <f t="shared" si="16"/>
        <v>861</v>
      </c>
      <c r="I565" s="7">
        <f t="shared" si="17"/>
        <v>2.4969000000000001</v>
      </c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1:28" ht="15" thickBot="1" x14ac:dyDescent="0.4">
      <c r="A566" s="5" t="s">
        <v>109</v>
      </c>
      <c r="B566" s="7" t="s">
        <v>54</v>
      </c>
      <c r="C566" s="7" t="s">
        <v>38</v>
      </c>
      <c r="D566" s="8" t="s">
        <v>59</v>
      </c>
      <c r="E566" t="s">
        <v>16</v>
      </c>
      <c r="F566" s="7">
        <v>25</v>
      </c>
      <c r="G566" s="7">
        <v>37</v>
      </c>
      <c r="H566" s="7">
        <f t="shared" si="16"/>
        <v>259</v>
      </c>
      <c r="I566" s="7">
        <f t="shared" si="17"/>
        <v>0.75109999999999999</v>
      </c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1:28" ht="15" thickBot="1" x14ac:dyDescent="0.4">
      <c r="A567" s="5" t="s">
        <v>109</v>
      </c>
      <c r="B567" s="7" t="s">
        <v>54</v>
      </c>
      <c r="C567" s="7" t="s">
        <v>38</v>
      </c>
      <c r="D567" s="8" t="s">
        <v>60</v>
      </c>
      <c r="E567" t="s">
        <v>17</v>
      </c>
      <c r="F567" s="7">
        <v>80</v>
      </c>
      <c r="G567" s="7">
        <v>123</v>
      </c>
      <c r="H567" s="7">
        <f t="shared" si="16"/>
        <v>861</v>
      </c>
      <c r="I567" s="7">
        <f t="shared" si="17"/>
        <v>2.4969000000000001</v>
      </c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1:28" ht="15" thickBot="1" x14ac:dyDescent="0.4">
      <c r="A568" s="5" t="s">
        <v>109</v>
      </c>
      <c r="B568" s="7" t="s">
        <v>39</v>
      </c>
      <c r="C568" s="7" t="s">
        <v>61</v>
      </c>
      <c r="D568" s="11" t="s">
        <v>97</v>
      </c>
      <c r="E568" t="s">
        <v>18</v>
      </c>
      <c r="F568" s="7">
        <v>100</v>
      </c>
      <c r="G568" s="7">
        <v>100</v>
      </c>
      <c r="H568" s="7">
        <f t="shared" si="16"/>
        <v>700</v>
      </c>
      <c r="I568" s="7">
        <f t="shared" si="17"/>
        <v>2.0299999999999998</v>
      </c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1:28" ht="15" thickBot="1" x14ac:dyDescent="0.4">
      <c r="A569" s="5" t="s">
        <v>109</v>
      </c>
      <c r="B569" s="7" t="s">
        <v>39</v>
      </c>
      <c r="C569" s="7" t="s">
        <v>61</v>
      </c>
      <c r="D569" s="11" t="s">
        <v>62</v>
      </c>
      <c r="E569" t="s">
        <v>19</v>
      </c>
      <c r="F569" s="7">
        <v>0</v>
      </c>
      <c r="G569" s="7">
        <v>0</v>
      </c>
      <c r="H569" s="7">
        <f t="shared" si="16"/>
        <v>0</v>
      </c>
      <c r="I569" s="7">
        <f t="shared" si="17"/>
        <v>0</v>
      </c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1:28" ht="15" thickBot="1" x14ac:dyDescent="0.4">
      <c r="A570" s="5" t="s">
        <v>109</v>
      </c>
      <c r="B570" s="7" t="s">
        <v>39</v>
      </c>
      <c r="C570" s="7" t="s">
        <v>61</v>
      </c>
      <c r="D570" s="11" t="s">
        <v>98</v>
      </c>
      <c r="E570" t="s">
        <v>20</v>
      </c>
      <c r="F570" s="7">
        <v>0</v>
      </c>
      <c r="G570" s="7">
        <v>0</v>
      </c>
      <c r="H570" s="7">
        <f t="shared" si="16"/>
        <v>0</v>
      </c>
      <c r="I570" s="7">
        <f t="shared" si="17"/>
        <v>0</v>
      </c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1:28" ht="15" thickBot="1" x14ac:dyDescent="0.4">
      <c r="A571" s="5" t="s">
        <v>109</v>
      </c>
      <c r="B571" s="7" t="s">
        <v>39</v>
      </c>
      <c r="C571" s="7" t="s">
        <v>61</v>
      </c>
      <c r="D571" s="11" t="s">
        <v>63</v>
      </c>
      <c r="E571" t="s">
        <v>21</v>
      </c>
      <c r="F571" s="7">
        <v>40</v>
      </c>
      <c r="G571" s="7">
        <v>40</v>
      </c>
      <c r="H571" s="7">
        <f t="shared" si="16"/>
        <v>280</v>
      </c>
      <c r="I571" s="7">
        <f t="shared" si="17"/>
        <v>0.81200000000000006</v>
      </c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1:28" ht="15" thickBot="1" x14ac:dyDescent="0.4">
      <c r="A572" s="5" t="s">
        <v>109</v>
      </c>
      <c r="B572" s="7" t="s">
        <v>39</v>
      </c>
      <c r="C572" s="7" t="s">
        <v>64</v>
      </c>
      <c r="D572" s="11" t="s">
        <v>65</v>
      </c>
      <c r="E572" t="s">
        <v>20</v>
      </c>
      <c r="F572" s="7">
        <v>0</v>
      </c>
      <c r="G572" s="7">
        <v>0</v>
      </c>
      <c r="H572" s="7">
        <f t="shared" si="16"/>
        <v>0</v>
      </c>
      <c r="I572" s="7">
        <f t="shared" si="17"/>
        <v>0</v>
      </c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1:28" ht="15" thickBot="1" x14ac:dyDescent="0.4">
      <c r="A573" s="5" t="s">
        <v>109</v>
      </c>
      <c r="B573" s="7" t="s">
        <v>39</v>
      </c>
      <c r="C573" s="7" t="s">
        <v>64</v>
      </c>
      <c r="D573" s="11" t="s">
        <v>66</v>
      </c>
      <c r="E573" t="s">
        <v>20</v>
      </c>
      <c r="F573" s="7">
        <v>0</v>
      </c>
      <c r="G573" s="7">
        <v>0</v>
      </c>
      <c r="H573" s="7">
        <f t="shared" si="16"/>
        <v>0</v>
      </c>
      <c r="I573" s="7">
        <f t="shared" si="17"/>
        <v>0</v>
      </c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1:28" ht="15" thickBot="1" x14ac:dyDescent="0.4">
      <c r="A574" s="5" t="s">
        <v>109</v>
      </c>
      <c r="B574" s="7" t="s">
        <v>39</v>
      </c>
      <c r="C574" s="7" t="s">
        <v>64</v>
      </c>
      <c r="D574" s="11" t="s">
        <v>67</v>
      </c>
      <c r="E574" t="s">
        <v>22</v>
      </c>
      <c r="F574" s="7">
        <v>35</v>
      </c>
      <c r="G574" s="7">
        <v>35</v>
      </c>
      <c r="H574" s="7">
        <f t="shared" si="16"/>
        <v>245</v>
      </c>
      <c r="I574" s="7">
        <f t="shared" si="17"/>
        <v>0.71050000000000002</v>
      </c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1:28" ht="15" thickBot="1" x14ac:dyDescent="0.4">
      <c r="A575" s="5" t="s">
        <v>109</v>
      </c>
      <c r="B575" s="7" t="s">
        <v>68</v>
      </c>
      <c r="C575" s="7" t="s">
        <v>69</v>
      </c>
      <c r="D575" s="11" t="s">
        <v>70</v>
      </c>
      <c r="E575" t="s">
        <v>116</v>
      </c>
      <c r="F575" s="7">
        <v>12</v>
      </c>
      <c r="G575" s="7">
        <v>13</v>
      </c>
      <c r="H575" s="7">
        <f t="shared" si="16"/>
        <v>91</v>
      </c>
      <c r="I575" s="7">
        <f t="shared" si="17"/>
        <v>0.26389999999999997</v>
      </c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1:28" ht="15" thickBot="1" x14ac:dyDescent="0.4">
      <c r="A576" s="5" t="s">
        <v>109</v>
      </c>
      <c r="B576" s="7" t="s">
        <v>68</v>
      </c>
      <c r="C576" s="7" t="s">
        <v>69</v>
      </c>
      <c r="D576" s="11" t="s">
        <v>71</v>
      </c>
      <c r="E576" t="s">
        <v>117</v>
      </c>
      <c r="F576" s="7">
        <v>10</v>
      </c>
      <c r="G576" s="7">
        <v>13</v>
      </c>
      <c r="H576" s="7">
        <f t="shared" si="16"/>
        <v>91</v>
      </c>
      <c r="I576" s="7">
        <f t="shared" si="17"/>
        <v>0.26389999999999997</v>
      </c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1:28" ht="15" thickBot="1" x14ac:dyDescent="0.4">
      <c r="A577" s="5" t="s">
        <v>109</v>
      </c>
      <c r="B577" s="7" t="s">
        <v>68</v>
      </c>
      <c r="C577" s="7" t="s">
        <v>69</v>
      </c>
      <c r="D577" s="11" t="s">
        <v>72</v>
      </c>
      <c r="E577" t="s">
        <v>118</v>
      </c>
      <c r="F577" s="7">
        <v>5</v>
      </c>
      <c r="G577" s="7">
        <v>6</v>
      </c>
      <c r="H577" s="7">
        <f t="shared" si="16"/>
        <v>42</v>
      </c>
      <c r="I577" s="7">
        <f t="shared" si="17"/>
        <v>0.12179999999999999</v>
      </c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1:28" ht="15" thickBot="1" x14ac:dyDescent="0.4">
      <c r="A578" s="5" t="s">
        <v>109</v>
      </c>
      <c r="B578" s="7" t="s">
        <v>68</v>
      </c>
      <c r="C578" s="7" t="s">
        <v>69</v>
      </c>
      <c r="D578" s="11" t="s">
        <v>73</v>
      </c>
      <c r="E578" t="s">
        <v>119</v>
      </c>
      <c r="F578" s="7">
        <v>10</v>
      </c>
      <c r="G578" s="7">
        <v>13</v>
      </c>
      <c r="H578" s="7">
        <f t="shared" si="16"/>
        <v>91</v>
      </c>
      <c r="I578" s="7">
        <f t="shared" si="17"/>
        <v>0.26389999999999997</v>
      </c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1:28" ht="15" thickBot="1" x14ac:dyDescent="0.4">
      <c r="A579" s="5" t="s">
        <v>109</v>
      </c>
      <c r="B579" s="7" t="s">
        <v>68</v>
      </c>
      <c r="C579" s="7" t="s">
        <v>40</v>
      </c>
      <c r="D579" s="11" t="s">
        <v>74</v>
      </c>
      <c r="E579" t="s">
        <v>120</v>
      </c>
      <c r="F579" s="7">
        <v>15</v>
      </c>
      <c r="G579" s="7">
        <v>23</v>
      </c>
      <c r="H579" s="7">
        <f t="shared" ref="H579:H642" si="18">G579*7</f>
        <v>161</v>
      </c>
      <c r="I579" s="7">
        <f t="shared" ref="I579:I642" si="19">H579*2.9/(1000)</f>
        <v>0.46689999999999998</v>
      </c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1:28" ht="15" thickBot="1" x14ac:dyDescent="0.4">
      <c r="A580" s="5" t="s">
        <v>109</v>
      </c>
      <c r="B580" s="7" t="s">
        <v>68</v>
      </c>
      <c r="C580" s="7" t="s">
        <v>40</v>
      </c>
      <c r="D580" s="11" t="s">
        <v>75</v>
      </c>
      <c r="E580" s="11" t="s">
        <v>121</v>
      </c>
      <c r="F580" s="7">
        <v>3</v>
      </c>
      <c r="G580" s="7">
        <v>4</v>
      </c>
      <c r="H580" s="7">
        <f t="shared" si="18"/>
        <v>28</v>
      </c>
      <c r="I580" s="7">
        <f t="shared" si="19"/>
        <v>8.1200000000000008E-2</v>
      </c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1:28" ht="15" thickBot="1" x14ac:dyDescent="0.4">
      <c r="A581" s="5" t="s">
        <v>109</v>
      </c>
      <c r="B581" s="7" t="s">
        <v>68</v>
      </c>
      <c r="C581" s="7" t="s">
        <v>40</v>
      </c>
      <c r="D581" s="11" t="s">
        <v>76</v>
      </c>
      <c r="E581" s="11" t="s">
        <v>122</v>
      </c>
      <c r="F581" s="7">
        <v>1</v>
      </c>
      <c r="G581" s="7">
        <v>1</v>
      </c>
      <c r="H581" s="7">
        <f t="shared" si="18"/>
        <v>7</v>
      </c>
      <c r="I581" s="7">
        <f t="shared" si="19"/>
        <v>2.0300000000000002E-2</v>
      </c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1:28" ht="15" thickBot="1" x14ac:dyDescent="0.4">
      <c r="A582" s="5" t="s">
        <v>109</v>
      </c>
      <c r="B582" s="7" t="s">
        <v>68</v>
      </c>
      <c r="C582" s="7" t="s">
        <v>41</v>
      </c>
      <c r="D582" s="11" t="s">
        <v>77</v>
      </c>
      <c r="E582" t="s">
        <v>23</v>
      </c>
      <c r="F582" s="7">
        <v>12</v>
      </c>
      <c r="G582" s="7">
        <v>14</v>
      </c>
      <c r="H582" s="7">
        <f t="shared" si="18"/>
        <v>98</v>
      </c>
      <c r="I582" s="7">
        <f t="shared" si="19"/>
        <v>0.28420000000000001</v>
      </c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1:28" ht="15" thickBot="1" x14ac:dyDescent="0.4">
      <c r="A583" s="5" t="s">
        <v>109</v>
      </c>
      <c r="B583" s="7" t="s">
        <v>68</v>
      </c>
      <c r="C583" s="7" t="s">
        <v>41</v>
      </c>
      <c r="D583" s="11" t="s">
        <v>78</v>
      </c>
      <c r="E583" t="s">
        <v>24</v>
      </c>
      <c r="F583" s="7">
        <v>0</v>
      </c>
      <c r="G583" s="7">
        <v>0</v>
      </c>
      <c r="H583" s="7">
        <f t="shared" si="18"/>
        <v>0</v>
      </c>
      <c r="I583" s="7">
        <f t="shared" si="19"/>
        <v>0</v>
      </c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1:28" ht="15" thickBot="1" x14ac:dyDescent="0.4">
      <c r="A584" s="5" t="s">
        <v>109</v>
      </c>
      <c r="B584" s="7" t="s">
        <v>68</v>
      </c>
      <c r="C584" s="7" t="s">
        <v>42</v>
      </c>
      <c r="D584" s="6" t="s">
        <v>71</v>
      </c>
      <c r="E584" t="s">
        <v>123</v>
      </c>
      <c r="F584" s="7">
        <v>3</v>
      </c>
      <c r="G584" s="7">
        <v>3</v>
      </c>
      <c r="H584" s="7">
        <f t="shared" si="18"/>
        <v>21</v>
      </c>
      <c r="I584" s="7">
        <f t="shared" si="19"/>
        <v>6.0899999999999996E-2</v>
      </c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1:28" ht="15" thickBot="1" x14ac:dyDescent="0.4">
      <c r="A585" s="5" t="s">
        <v>109</v>
      </c>
      <c r="B585" s="7" t="s">
        <v>68</v>
      </c>
      <c r="C585" s="7" t="s">
        <v>42</v>
      </c>
      <c r="D585" s="6" t="s">
        <v>73</v>
      </c>
      <c r="E585" t="s">
        <v>124</v>
      </c>
      <c r="F585" s="7">
        <v>5</v>
      </c>
      <c r="G585" s="7">
        <v>5</v>
      </c>
      <c r="H585" s="7">
        <f t="shared" si="18"/>
        <v>35</v>
      </c>
      <c r="I585" s="7">
        <f t="shared" si="19"/>
        <v>0.10150000000000001</v>
      </c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1:28" ht="15" thickBot="1" x14ac:dyDescent="0.4">
      <c r="A586" s="5" t="s">
        <v>109</v>
      </c>
      <c r="B586" s="7" t="s">
        <v>68</v>
      </c>
      <c r="C586" s="7" t="s">
        <v>42</v>
      </c>
      <c r="D586" s="6" t="s">
        <v>74</v>
      </c>
      <c r="E586" t="s">
        <v>125</v>
      </c>
      <c r="F586" s="7">
        <v>3</v>
      </c>
      <c r="G586" s="7">
        <v>3</v>
      </c>
      <c r="H586" s="7">
        <f t="shared" si="18"/>
        <v>21</v>
      </c>
      <c r="I586" s="7">
        <f t="shared" si="19"/>
        <v>6.0899999999999996E-2</v>
      </c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1:28" ht="15" thickBot="1" x14ac:dyDescent="0.4">
      <c r="A587" s="5" t="s">
        <v>109</v>
      </c>
      <c r="B587" s="7" t="s">
        <v>68</v>
      </c>
      <c r="C587" s="7" t="s">
        <v>42</v>
      </c>
      <c r="D587" s="6" t="s">
        <v>76</v>
      </c>
      <c r="E587" t="s">
        <v>126</v>
      </c>
      <c r="F587" s="7">
        <v>0</v>
      </c>
      <c r="G587" s="7">
        <v>0</v>
      </c>
      <c r="H587" s="7">
        <f t="shared" si="18"/>
        <v>0</v>
      </c>
      <c r="I587" s="7">
        <f t="shared" si="19"/>
        <v>0</v>
      </c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1:28" ht="15" thickBot="1" x14ac:dyDescent="0.4">
      <c r="A588" s="5" t="s">
        <v>109</v>
      </c>
      <c r="B588" s="7" t="s">
        <v>68</v>
      </c>
      <c r="C588" s="7" t="s">
        <v>79</v>
      </c>
      <c r="D588" s="11" t="s">
        <v>79</v>
      </c>
      <c r="E588" t="s">
        <v>25</v>
      </c>
      <c r="F588" s="7">
        <v>25</v>
      </c>
      <c r="G588" s="7">
        <v>28</v>
      </c>
      <c r="H588" s="7">
        <f t="shared" si="18"/>
        <v>196</v>
      </c>
      <c r="I588" s="7">
        <f t="shared" si="19"/>
        <v>0.56840000000000002</v>
      </c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1:28" ht="15" thickBot="1" x14ac:dyDescent="0.4">
      <c r="A589" s="5" t="s">
        <v>109</v>
      </c>
      <c r="B589" s="7" t="s">
        <v>80</v>
      </c>
      <c r="C589" s="7" t="s">
        <v>43</v>
      </c>
      <c r="D589" s="11" t="s">
        <v>43</v>
      </c>
      <c r="E589" t="s">
        <v>26</v>
      </c>
      <c r="F589" s="7">
        <v>90</v>
      </c>
      <c r="G589" s="7">
        <v>90</v>
      </c>
      <c r="H589" s="7">
        <f t="shared" si="18"/>
        <v>630</v>
      </c>
      <c r="I589" s="7">
        <f t="shared" si="19"/>
        <v>1.827</v>
      </c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1:28" ht="15" thickBot="1" x14ac:dyDescent="0.4">
      <c r="A590" s="5" t="s">
        <v>109</v>
      </c>
      <c r="B590" s="7" t="s">
        <v>80</v>
      </c>
      <c r="C590" s="7" t="s">
        <v>43</v>
      </c>
      <c r="D590" s="11" t="s">
        <v>81</v>
      </c>
      <c r="E590" t="s">
        <v>27</v>
      </c>
      <c r="F590" s="7">
        <v>0</v>
      </c>
      <c r="G590" s="7">
        <v>0</v>
      </c>
      <c r="H590" s="7">
        <f t="shared" si="18"/>
        <v>0</v>
      </c>
      <c r="I590" s="7">
        <f t="shared" si="19"/>
        <v>0</v>
      </c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1:28" ht="15" thickBot="1" x14ac:dyDescent="0.4">
      <c r="A591" s="5" t="s">
        <v>109</v>
      </c>
      <c r="B591" s="7" t="s">
        <v>80</v>
      </c>
      <c r="C591" s="7" t="s">
        <v>44</v>
      </c>
      <c r="D591" s="11" t="s">
        <v>82</v>
      </c>
      <c r="E591" t="s">
        <v>127</v>
      </c>
      <c r="F591" s="7">
        <v>25</v>
      </c>
      <c r="G591" s="7">
        <v>31</v>
      </c>
      <c r="H591" s="7">
        <f t="shared" si="18"/>
        <v>217</v>
      </c>
      <c r="I591" s="7">
        <f t="shared" si="19"/>
        <v>0.62929999999999997</v>
      </c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1:28" ht="15" thickBot="1" x14ac:dyDescent="0.4">
      <c r="A592" s="5" t="s">
        <v>109</v>
      </c>
      <c r="B592" s="7" t="s">
        <v>80</v>
      </c>
      <c r="C592" s="7" t="s">
        <v>44</v>
      </c>
      <c r="D592" s="11" t="s">
        <v>83</v>
      </c>
      <c r="E592" t="s">
        <v>28</v>
      </c>
      <c r="F592" s="7">
        <v>10</v>
      </c>
      <c r="G592" s="7">
        <v>12</v>
      </c>
      <c r="H592" s="7">
        <f t="shared" si="18"/>
        <v>84</v>
      </c>
      <c r="I592" s="7">
        <f t="shared" si="19"/>
        <v>0.24359999999999998</v>
      </c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1:28" ht="15" thickBot="1" x14ac:dyDescent="0.4">
      <c r="A593" s="5" t="s">
        <v>109</v>
      </c>
      <c r="B593" s="7" t="s">
        <v>45</v>
      </c>
      <c r="C593" s="7" t="s">
        <v>84</v>
      </c>
      <c r="D593" t="s">
        <v>84</v>
      </c>
      <c r="E593" t="s">
        <v>30</v>
      </c>
      <c r="F593" s="7">
        <v>15</v>
      </c>
      <c r="G593" s="7">
        <v>15</v>
      </c>
      <c r="H593" s="7">
        <f t="shared" si="18"/>
        <v>105</v>
      </c>
      <c r="I593" s="7">
        <f t="shared" si="19"/>
        <v>0.30449999999999999</v>
      </c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1:28" ht="15" thickBot="1" x14ac:dyDescent="0.4">
      <c r="A594" s="5" t="s">
        <v>109</v>
      </c>
      <c r="B594" s="7" t="s">
        <v>45</v>
      </c>
      <c r="C594" s="7" t="s">
        <v>85</v>
      </c>
      <c r="D594" t="s">
        <v>85</v>
      </c>
      <c r="E594" t="s">
        <v>31</v>
      </c>
      <c r="F594" s="7">
        <v>5</v>
      </c>
      <c r="G594" s="7">
        <v>5</v>
      </c>
      <c r="H594" s="7">
        <f t="shared" si="18"/>
        <v>35</v>
      </c>
      <c r="I594" s="7">
        <f t="shared" si="19"/>
        <v>0.10150000000000001</v>
      </c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1:28" ht="15" thickBot="1" x14ac:dyDescent="0.4">
      <c r="A595" s="5" t="s">
        <v>109</v>
      </c>
      <c r="B595" s="7" t="s">
        <v>86</v>
      </c>
      <c r="C595" s="7" t="s">
        <v>87</v>
      </c>
      <c r="D595" s="11" t="s">
        <v>87</v>
      </c>
      <c r="E595" t="s">
        <v>29</v>
      </c>
      <c r="F595" s="7">
        <v>50</v>
      </c>
      <c r="G595" s="7">
        <v>50</v>
      </c>
      <c r="H595" s="7">
        <f t="shared" si="18"/>
        <v>350</v>
      </c>
      <c r="I595" s="7">
        <f t="shared" si="19"/>
        <v>1.0149999999999999</v>
      </c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1:28" ht="15" thickBot="1" x14ac:dyDescent="0.4">
      <c r="A596" s="5" t="s">
        <v>109</v>
      </c>
      <c r="B596" s="7" t="s">
        <v>86</v>
      </c>
      <c r="C596" s="7" t="s">
        <v>46</v>
      </c>
      <c r="D596" s="11" t="s">
        <v>88</v>
      </c>
      <c r="E596" s="11" t="s">
        <v>88</v>
      </c>
      <c r="F596" s="7">
        <v>5</v>
      </c>
      <c r="G596" s="7">
        <v>5</v>
      </c>
      <c r="H596" s="7">
        <f t="shared" si="18"/>
        <v>35</v>
      </c>
      <c r="I596" s="7">
        <f t="shared" si="19"/>
        <v>0.10150000000000001</v>
      </c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1:28" ht="15" thickBot="1" x14ac:dyDescent="0.4">
      <c r="A597" s="5" t="s">
        <v>109</v>
      </c>
      <c r="B597" s="7" t="s">
        <v>86</v>
      </c>
      <c r="C597" s="7" t="s">
        <v>46</v>
      </c>
      <c r="D597" s="11" t="s">
        <v>89</v>
      </c>
      <c r="E597" s="11" t="s">
        <v>89</v>
      </c>
      <c r="F597" s="7">
        <v>0</v>
      </c>
      <c r="G597" s="7">
        <v>0</v>
      </c>
      <c r="H597" s="7">
        <f t="shared" si="18"/>
        <v>0</v>
      </c>
      <c r="I597" s="7">
        <f t="shared" si="19"/>
        <v>0</v>
      </c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1:28" ht="15" thickBot="1" x14ac:dyDescent="0.4">
      <c r="A598" s="5" t="s">
        <v>109</v>
      </c>
      <c r="B598" s="7" t="s">
        <v>86</v>
      </c>
      <c r="C598" s="7" t="s">
        <v>46</v>
      </c>
      <c r="D598" s="11" t="s">
        <v>90</v>
      </c>
      <c r="E598" s="11" t="s">
        <v>90</v>
      </c>
      <c r="F598" s="7">
        <v>15</v>
      </c>
      <c r="G598" s="7">
        <v>15</v>
      </c>
      <c r="H598" s="7">
        <f t="shared" si="18"/>
        <v>105</v>
      </c>
      <c r="I598" s="7">
        <f t="shared" si="19"/>
        <v>0.30449999999999999</v>
      </c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1:28" ht="15" thickBot="1" x14ac:dyDescent="0.4">
      <c r="A599" s="5" t="s">
        <v>109</v>
      </c>
      <c r="B599" s="7" t="s">
        <v>86</v>
      </c>
      <c r="C599" s="7" t="s">
        <v>46</v>
      </c>
      <c r="D599" s="11" t="s">
        <v>91</v>
      </c>
      <c r="E599" s="11" t="s">
        <v>91</v>
      </c>
      <c r="F599" s="7">
        <v>5</v>
      </c>
      <c r="G599" s="7">
        <v>5</v>
      </c>
      <c r="H599" s="7">
        <f t="shared" si="18"/>
        <v>35</v>
      </c>
      <c r="I599" s="7">
        <f t="shared" si="19"/>
        <v>0.10150000000000001</v>
      </c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1:28" ht="15" thickBot="1" x14ac:dyDescent="0.4">
      <c r="A600" s="5" t="s">
        <v>109</v>
      </c>
      <c r="B600" s="7" t="s">
        <v>86</v>
      </c>
      <c r="C600" s="7" t="s">
        <v>92</v>
      </c>
      <c r="D600" t="s">
        <v>93</v>
      </c>
      <c r="E600" t="s">
        <v>93</v>
      </c>
      <c r="F600" s="7">
        <v>8</v>
      </c>
      <c r="G600" s="7">
        <v>9</v>
      </c>
      <c r="H600" s="7">
        <f t="shared" si="18"/>
        <v>63</v>
      </c>
      <c r="I600" s="7">
        <f t="shared" si="19"/>
        <v>0.1827</v>
      </c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1:28" ht="15" thickBot="1" x14ac:dyDescent="0.4">
      <c r="A601" s="5" t="s">
        <v>109</v>
      </c>
      <c r="B601" s="7" t="s">
        <v>86</v>
      </c>
      <c r="C601" s="7" t="s">
        <v>92</v>
      </c>
      <c r="D601" t="s">
        <v>94</v>
      </c>
      <c r="E601" t="s">
        <v>94</v>
      </c>
      <c r="F601" s="7">
        <v>3</v>
      </c>
      <c r="G601" s="7">
        <v>3</v>
      </c>
      <c r="H601" s="7">
        <f t="shared" si="18"/>
        <v>21</v>
      </c>
      <c r="I601" s="7">
        <f t="shared" si="19"/>
        <v>6.0899999999999996E-2</v>
      </c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1:28" ht="15" thickBot="1" x14ac:dyDescent="0.4">
      <c r="A602" s="5" t="s">
        <v>111</v>
      </c>
      <c r="B602" s="7" t="s">
        <v>52</v>
      </c>
      <c r="C602" s="7" t="s">
        <v>35</v>
      </c>
      <c r="D602" s="8" t="s">
        <v>47</v>
      </c>
      <c r="E602" t="s">
        <v>3</v>
      </c>
      <c r="F602" s="7">
        <v>70</v>
      </c>
      <c r="G602" s="7">
        <v>70</v>
      </c>
      <c r="H602" s="7">
        <f t="shared" si="18"/>
        <v>490</v>
      </c>
      <c r="I602" s="7">
        <f t="shared" si="19"/>
        <v>1.421</v>
      </c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1:28" ht="15" thickBot="1" x14ac:dyDescent="0.4">
      <c r="A603" s="5" t="s">
        <v>111</v>
      </c>
      <c r="B603" s="7" t="s">
        <v>52</v>
      </c>
      <c r="C603" s="7" t="s">
        <v>35</v>
      </c>
      <c r="D603" s="8" t="s">
        <v>48</v>
      </c>
      <c r="E603" t="s">
        <v>7</v>
      </c>
      <c r="F603" s="7">
        <v>5</v>
      </c>
      <c r="G603" s="7">
        <v>6</v>
      </c>
      <c r="H603" s="7">
        <f t="shared" si="18"/>
        <v>42</v>
      </c>
      <c r="I603" s="7">
        <f t="shared" si="19"/>
        <v>0.12179999999999999</v>
      </c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1:28" ht="15" thickBot="1" x14ac:dyDescent="0.4">
      <c r="A604" s="5" t="s">
        <v>111</v>
      </c>
      <c r="B604" s="7" t="s">
        <v>52</v>
      </c>
      <c r="C604" s="7" t="s">
        <v>35</v>
      </c>
      <c r="D604" s="8" t="s">
        <v>49</v>
      </c>
      <c r="E604" t="s">
        <v>4</v>
      </c>
      <c r="F604" s="7">
        <v>30</v>
      </c>
      <c r="G604" s="7">
        <v>30</v>
      </c>
      <c r="H604" s="7">
        <f t="shared" si="18"/>
        <v>210</v>
      </c>
      <c r="I604" s="7">
        <f t="shared" si="19"/>
        <v>0.60899999999999999</v>
      </c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1:28" ht="15" thickBot="1" x14ac:dyDescent="0.4">
      <c r="A605" s="5" t="s">
        <v>111</v>
      </c>
      <c r="B605" s="7" t="s">
        <v>52</v>
      </c>
      <c r="C605" s="7" t="s">
        <v>35</v>
      </c>
      <c r="D605" s="8" t="s">
        <v>50</v>
      </c>
      <c r="E605" t="s">
        <v>6</v>
      </c>
      <c r="F605" s="7">
        <v>15</v>
      </c>
      <c r="G605" s="7">
        <v>15</v>
      </c>
      <c r="H605" s="7">
        <f t="shared" si="18"/>
        <v>105</v>
      </c>
      <c r="I605" s="7">
        <f t="shared" si="19"/>
        <v>0.30449999999999999</v>
      </c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1:28" ht="15" thickBot="1" x14ac:dyDescent="0.4">
      <c r="A606" s="5" t="s">
        <v>111</v>
      </c>
      <c r="B606" s="7" t="s">
        <v>52</v>
      </c>
      <c r="C606" s="7" t="s">
        <v>35</v>
      </c>
      <c r="D606" s="8" t="s">
        <v>51</v>
      </c>
      <c r="E606" t="s">
        <v>5</v>
      </c>
      <c r="F606" s="7">
        <v>2</v>
      </c>
      <c r="G606" s="7">
        <v>2</v>
      </c>
      <c r="H606" s="7">
        <f t="shared" si="18"/>
        <v>14</v>
      </c>
      <c r="I606" s="7">
        <f t="shared" si="19"/>
        <v>4.0600000000000004E-2</v>
      </c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1:28" ht="15" thickBot="1" x14ac:dyDescent="0.4">
      <c r="A607" s="5" t="s">
        <v>111</v>
      </c>
      <c r="B607" s="7" t="s">
        <v>52</v>
      </c>
      <c r="C607" s="7" t="s">
        <v>37</v>
      </c>
      <c r="D607" s="9" t="s">
        <v>114</v>
      </c>
      <c r="E607" t="s">
        <v>8</v>
      </c>
      <c r="F607" s="7">
        <v>90</v>
      </c>
      <c r="G607" s="7">
        <v>105</v>
      </c>
      <c r="H607" s="7">
        <f t="shared" si="18"/>
        <v>735</v>
      </c>
      <c r="I607" s="7">
        <f t="shared" si="19"/>
        <v>2.1315</v>
      </c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1:28" ht="15" thickBot="1" x14ac:dyDescent="0.4">
      <c r="A608" s="5" t="s">
        <v>111</v>
      </c>
      <c r="B608" s="7" t="s">
        <v>52</v>
      </c>
      <c r="C608" s="7" t="s">
        <v>37</v>
      </c>
      <c r="D608" s="8" t="s">
        <v>115</v>
      </c>
      <c r="E608" t="s">
        <v>9</v>
      </c>
      <c r="F608" s="7">
        <v>115</v>
      </c>
      <c r="G608" s="7">
        <v>135</v>
      </c>
      <c r="H608" s="7">
        <f t="shared" si="18"/>
        <v>945</v>
      </c>
      <c r="I608" s="7">
        <f t="shared" si="19"/>
        <v>2.7404999999999999</v>
      </c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1:28" ht="15" thickBot="1" x14ac:dyDescent="0.4">
      <c r="A609" s="5" t="s">
        <v>111</v>
      </c>
      <c r="B609" s="7" t="s">
        <v>52</v>
      </c>
      <c r="C609" s="7" t="s">
        <v>37</v>
      </c>
      <c r="D609" s="10" t="s">
        <v>53</v>
      </c>
      <c r="E609" t="s">
        <v>10</v>
      </c>
      <c r="F609" s="7">
        <v>90</v>
      </c>
      <c r="G609" s="7">
        <v>143</v>
      </c>
      <c r="H609" s="7">
        <f t="shared" si="18"/>
        <v>1001</v>
      </c>
      <c r="I609" s="7">
        <f t="shared" si="19"/>
        <v>2.9029000000000003</v>
      </c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1:28" ht="15" thickBot="1" x14ac:dyDescent="0.4">
      <c r="A610" s="5" t="s">
        <v>111</v>
      </c>
      <c r="B610" s="7" t="s">
        <v>52</v>
      </c>
      <c r="C610" s="7" t="s">
        <v>37</v>
      </c>
      <c r="D610" s="10" t="s">
        <v>96</v>
      </c>
      <c r="E610" t="s">
        <v>113</v>
      </c>
      <c r="F610" s="7">
        <v>0</v>
      </c>
      <c r="G610" s="7">
        <v>0</v>
      </c>
      <c r="H610" s="7">
        <f t="shared" si="18"/>
        <v>0</v>
      </c>
      <c r="I610" s="7">
        <f t="shared" si="19"/>
        <v>0</v>
      </c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1:28" ht="15" thickBot="1" x14ac:dyDescent="0.4">
      <c r="A611" s="5" t="s">
        <v>111</v>
      </c>
      <c r="B611" s="7" t="s">
        <v>52</v>
      </c>
      <c r="C611" s="7" t="s">
        <v>37</v>
      </c>
      <c r="D611" s="10" t="s">
        <v>50</v>
      </c>
      <c r="E611" t="s">
        <v>11</v>
      </c>
      <c r="F611" s="7">
        <v>10</v>
      </c>
      <c r="G611" s="7">
        <v>10</v>
      </c>
      <c r="H611" s="7">
        <f t="shared" si="18"/>
        <v>70</v>
      </c>
      <c r="I611" s="7">
        <f t="shared" si="19"/>
        <v>0.20300000000000001</v>
      </c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1:28" ht="15" thickBot="1" x14ac:dyDescent="0.4">
      <c r="A612" s="5" t="s">
        <v>111</v>
      </c>
      <c r="B612" s="7" t="s">
        <v>54</v>
      </c>
      <c r="C612" s="7" t="s">
        <v>36</v>
      </c>
      <c r="D612" s="8" t="s">
        <v>55</v>
      </c>
      <c r="E612" t="s">
        <v>12</v>
      </c>
      <c r="F612" s="7">
        <v>80</v>
      </c>
      <c r="G612" s="7">
        <v>94</v>
      </c>
      <c r="H612" s="7">
        <f t="shared" si="18"/>
        <v>658</v>
      </c>
      <c r="I612" s="7">
        <f t="shared" si="19"/>
        <v>1.9082000000000001</v>
      </c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1:28" ht="15" thickBot="1" x14ac:dyDescent="0.4">
      <c r="A613" s="5" t="s">
        <v>111</v>
      </c>
      <c r="B613" s="7" t="s">
        <v>54</v>
      </c>
      <c r="C613" s="7" t="s">
        <v>36</v>
      </c>
      <c r="D613" s="8" t="s">
        <v>56</v>
      </c>
      <c r="E613" t="s">
        <v>13</v>
      </c>
      <c r="F613" s="7">
        <v>80</v>
      </c>
      <c r="G613" s="7">
        <v>103</v>
      </c>
      <c r="H613" s="7">
        <f t="shared" si="18"/>
        <v>721</v>
      </c>
      <c r="I613" s="7">
        <f t="shared" si="19"/>
        <v>2.0909</v>
      </c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1:28" ht="15" thickBot="1" x14ac:dyDescent="0.4">
      <c r="A614" s="5" t="s">
        <v>111</v>
      </c>
      <c r="B614" s="7" t="s">
        <v>54</v>
      </c>
      <c r="C614" s="7" t="s">
        <v>36</v>
      </c>
      <c r="D614" s="8" t="s">
        <v>57</v>
      </c>
      <c r="E614" t="s">
        <v>14</v>
      </c>
      <c r="F614" s="7">
        <v>30</v>
      </c>
      <c r="G614" s="7">
        <v>38</v>
      </c>
      <c r="H614" s="7">
        <f t="shared" si="18"/>
        <v>266</v>
      </c>
      <c r="I614" s="7">
        <f t="shared" si="19"/>
        <v>0.77139999999999997</v>
      </c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1:28" ht="15" thickBot="1" x14ac:dyDescent="0.4">
      <c r="A615" s="5" t="s">
        <v>111</v>
      </c>
      <c r="B615" s="7" t="s">
        <v>54</v>
      </c>
      <c r="C615" s="7" t="s">
        <v>38</v>
      </c>
      <c r="D615" s="8" t="s">
        <v>58</v>
      </c>
      <c r="E615" t="s">
        <v>15</v>
      </c>
      <c r="F615" s="7">
        <v>80</v>
      </c>
      <c r="G615" s="7">
        <v>123</v>
      </c>
      <c r="H615" s="7">
        <f t="shared" si="18"/>
        <v>861</v>
      </c>
      <c r="I615" s="7">
        <f t="shared" si="19"/>
        <v>2.4969000000000001</v>
      </c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1:28" ht="15" thickBot="1" x14ac:dyDescent="0.4">
      <c r="A616" s="5" t="s">
        <v>111</v>
      </c>
      <c r="B616" s="7" t="s">
        <v>54</v>
      </c>
      <c r="C616" s="7" t="s">
        <v>38</v>
      </c>
      <c r="D616" s="8" t="s">
        <v>59</v>
      </c>
      <c r="E616" t="s">
        <v>16</v>
      </c>
      <c r="F616" s="7">
        <v>25</v>
      </c>
      <c r="G616" s="7">
        <v>37</v>
      </c>
      <c r="H616" s="7">
        <f t="shared" si="18"/>
        <v>259</v>
      </c>
      <c r="I616" s="7">
        <f t="shared" si="19"/>
        <v>0.75109999999999999</v>
      </c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1:28" ht="15" thickBot="1" x14ac:dyDescent="0.4">
      <c r="A617" s="5" t="s">
        <v>111</v>
      </c>
      <c r="B617" s="7" t="s">
        <v>54</v>
      </c>
      <c r="C617" s="7" t="s">
        <v>38</v>
      </c>
      <c r="D617" s="8" t="s">
        <v>60</v>
      </c>
      <c r="E617" t="s">
        <v>17</v>
      </c>
      <c r="F617" s="7">
        <v>80</v>
      </c>
      <c r="G617" s="7">
        <v>123</v>
      </c>
      <c r="H617" s="7">
        <f t="shared" si="18"/>
        <v>861</v>
      </c>
      <c r="I617" s="7">
        <f t="shared" si="19"/>
        <v>2.4969000000000001</v>
      </c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1:28" ht="15" thickBot="1" x14ac:dyDescent="0.4">
      <c r="A618" s="5" t="s">
        <v>111</v>
      </c>
      <c r="B618" s="7" t="s">
        <v>39</v>
      </c>
      <c r="C618" s="7" t="s">
        <v>61</v>
      </c>
      <c r="D618" s="11" t="s">
        <v>97</v>
      </c>
      <c r="E618" t="s">
        <v>18</v>
      </c>
      <c r="F618" s="7">
        <v>110</v>
      </c>
      <c r="G618" s="7">
        <v>110</v>
      </c>
      <c r="H618" s="7">
        <f t="shared" si="18"/>
        <v>770</v>
      </c>
      <c r="I618" s="7">
        <f t="shared" si="19"/>
        <v>2.2330000000000001</v>
      </c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1:28" ht="15" thickBot="1" x14ac:dyDescent="0.4">
      <c r="A619" s="5" t="s">
        <v>111</v>
      </c>
      <c r="B619" s="7" t="s">
        <v>39</v>
      </c>
      <c r="C619" s="7" t="s">
        <v>61</v>
      </c>
      <c r="D619" s="11" t="s">
        <v>62</v>
      </c>
      <c r="E619" t="s">
        <v>19</v>
      </c>
      <c r="F619" s="7">
        <v>0</v>
      </c>
      <c r="G619" s="7">
        <v>0</v>
      </c>
      <c r="H619" s="7">
        <f t="shared" si="18"/>
        <v>0</v>
      </c>
      <c r="I619" s="7">
        <f t="shared" si="19"/>
        <v>0</v>
      </c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1:28" ht="15" thickBot="1" x14ac:dyDescent="0.4">
      <c r="A620" s="5" t="s">
        <v>111</v>
      </c>
      <c r="B620" s="7" t="s">
        <v>39</v>
      </c>
      <c r="C620" s="7" t="s">
        <v>61</v>
      </c>
      <c r="D620" s="11" t="s">
        <v>98</v>
      </c>
      <c r="E620" t="s">
        <v>20</v>
      </c>
      <c r="F620" s="7">
        <v>0</v>
      </c>
      <c r="G620" s="7">
        <v>0</v>
      </c>
      <c r="H620" s="7">
        <f t="shared" si="18"/>
        <v>0</v>
      </c>
      <c r="I620" s="7">
        <f t="shared" si="19"/>
        <v>0</v>
      </c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1:28" ht="15" thickBot="1" x14ac:dyDescent="0.4">
      <c r="A621" s="5" t="s">
        <v>111</v>
      </c>
      <c r="B621" s="7" t="s">
        <v>39</v>
      </c>
      <c r="C621" s="7" t="s">
        <v>61</v>
      </c>
      <c r="D621" s="11" t="s">
        <v>63</v>
      </c>
      <c r="E621" t="s">
        <v>21</v>
      </c>
      <c r="F621" s="7">
        <v>35</v>
      </c>
      <c r="G621" s="7">
        <v>35</v>
      </c>
      <c r="H621" s="7">
        <f t="shared" si="18"/>
        <v>245</v>
      </c>
      <c r="I621" s="7">
        <f t="shared" si="19"/>
        <v>0.71050000000000002</v>
      </c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1:28" ht="15" thickBot="1" x14ac:dyDescent="0.4">
      <c r="A622" s="5" t="s">
        <v>111</v>
      </c>
      <c r="B622" s="7" t="s">
        <v>39</v>
      </c>
      <c r="C622" s="7" t="s">
        <v>64</v>
      </c>
      <c r="D622" s="11" t="s">
        <v>65</v>
      </c>
      <c r="E622" t="s">
        <v>20</v>
      </c>
      <c r="F622" s="7">
        <v>0</v>
      </c>
      <c r="G622" s="7">
        <v>0</v>
      </c>
      <c r="H622" s="7">
        <f t="shared" si="18"/>
        <v>0</v>
      </c>
      <c r="I622" s="7">
        <f t="shared" si="19"/>
        <v>0</v>
      </c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1:28" ht="15" thickBot="1" x14ac:dyDescent="0.4">
      <c r="A623" s="5" t="s">
        <v>111</v>
      </c>
      <c r="B623" s="7" t="s">
        <v>39</v>
      </c>
      <c r="C623" s="7" t="s">
        <v>64</v>
      </c>
      <c r="D623" s="11" t="s">
        <v>66</v>
      </c>
      <c r="E623" t="s">
        <v>20</v>
      </c>
      <c r="F623" s="7">
        <v>0</v>
      </c>
      <c r="G623" s="7">
        <v>0</v>
      </c>
      <c r="H623" s="7">
        <f t="shared" si="18"/>
        <v>0</v>
      </c>
      <c r="I623" s="7">
        <f t="shared" si="19"/>
        <v>0</v>
      </c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1:28" ht="15" thickBot="1" x14ac:dyDescent="0.4">
      <c r="A624" s="5" t="s">
        <v>111</v>
      </c>
      <c r="B624" s="7" t="s">
        <v>39</v>
      </c>
      <c r="C624" s="7" t="s">
        <v>64</v>
      </c>
      <c r="D624" s="11" t="s">
        <v>67</v>
      </c>
      <c r="E624" t="s">
        <v>22</v>
      </c>
      <c r="F624" s="7">
        <v>40</v>
      </c>
      <c r="G624" s="7">
        <v>40</v>
      </c>
      <c r="H624" s="7">
        <f t="shared" si="18"/>
        <v>280</v>
      </c>
      <c r="I624" s="7">
        <f t="shared" si="19"/>
        <v>0.81200000000000006</v>
      </c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1:28" ht="15" thickBot="1" x14ac:dyDescent="0.4">
      <c r="A625" s="5" t="s">
        <v>111</v>
      </c>
      <c r="B625" s="7" t="s">
        <v>68</v>
      </c>
      <c r="C625" s="7" t="s">
        <v>69</v>
      </c>
      <c r="D625" s="11" t="s">
        <v>70</v>
      </c>
      <c r="E625" t="s">
        <v>116</v>
      </c>
      <c r="F625" s="7">
        <v>12</v>
      </c>
      <c r="G625" s="7">
        <v>13</v>
      </c>
      <c r="H625" s="7">
        <f t="shared" si="18"/>
        <v>91</v>
      </c>
      <c r="I625" s="7">
        <f t="shared" si="19"/>
        <v>0.26389999999999997</v>
      </c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1:28" ht="15" thickBot="1" x14ac:dyDescent="0.4">
      <c r="A626" s="5" t="s">
        <v>111</v>
      </c>
      <c r="B626" s="7" t="s">
        <v>68</v>
      </c>
      <c r="C626" s="7" t="s">
        <v>69</v>
      </c>
      <c r="D626" s="11" t="s">
        <v>71</v>
      </c>
      <c r="E626" t="s">
        <v>117</v>
      </c>
      <c r="F626" s="7">
        <v>25</v>
      </c>
      <c r="G626" s="7">
        <v>32</v>
      </c>
      <c r="H626" s="7">
        <f t="shared" si="18"/>
        <v>224</v>
      </c>
      <c r="I626" s="7">
        <f t="shared" si="19"/>
        <v>0.64960000000000007</v>
      </c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1:28" ht="15" thickBot="1" x14ac:dyDescent="0.4">
      <c r="A627" s="5" t="s">
        <v>111</v>
      </c>
      <c r="B627" s="7" t="s">
        <v>68</v>
      </c>
      <c r="C627" s="7" t="s">
        <v>69</v>
      </c>
      <c r="D627" s="11" t="s">
        <v>72</v>
      </c>
      <c r="E627" t="s">
        <v>118</v>
      </c>
      <c r="F627" s="7">
        <v>8</v>
      </c>
      <c r="G627" s="7">
        <v>10</v>
      </c>
      <c r="H627" s="7">
        <f t="shared" si="18"/>
        <v>70</v>
      </c>
      <c r="I627" s="7">
        <f t="shared" si="19"/>
        <v>0.20300000000000001</v>
      </c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1:28" ht="15" thickBot="1" x14ac:dyDescent="0.4">
      <c r="A628" s="5" t="s">
        <v>111</v>
      </c>
      <c r="B628" s="7" t="s">
        <v>68</v>
      </c>
      <c r="C628" s="7" t="s">
        <v>69</v>
      </c>
      <c r="D628" s="11" t="s">
        <v>73</v>
      </c>
      <c r="E628" t="s">
        <v>119</v>
      </c>
      <c r="F628" s="7">
        <v>3</v>
      </c>
      <c r="G628" s="7">
        <v>4</v>
      </c>
      <c r="H628" s="7">
        <f t="shared" si="18"/>
        <v>28</v>
      </c>
      <c r="I628" s="7">
        <f t="shared" si="19"/>
        <v>8.1200000000000008E-2</v>
      </c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1:28" ht="15" thickBot="1" x14ac:dyDescent="0.4">
      <c r="A629" s="5" t="s">
        <v>111</v>
      </c>
      <c r="B629" s="7" t="s">
        <v>68</v>
      </c>
      <c r="C629" s="7" t="s">
        <v>40</v>
      </c>
      <c r="D629" s="11" t="s">
        <v>74</v>
      </c>
      <c r="E629" t="s">
        <v>120</v>
      </c>
      <c r="F629" s="7">
        <v>10</v>
      </c>
      <c r="G629" s="7">
        <v>15</v>
      </c>
      <c r="H629" s="7">
        <f t="shared" si="18"/>
        <v>105</v>
      </c>
      <c r="I629" s="7">
        <f t="shared" si="19"/>
        <v>0.30449999999999999</v>
      </c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1:28" ht="15" thickBot="1" x14ac:dyDescent="0.4">
      <c r="A630" s="5" t="s">
        <v>111</v>
      </c>
      <c r="B630" s="7" t="s">
        <v>68</v>
      </c>
      <c r="C630" s="7" t="s">
        <v>40</v>
      </c>
      <c r="D630" s="11" t="s">
        <v>75</v>
      </c>
      <c r="E630" s="11" t="s">
        <v>121</v>
      </c>
      <c r="F630" s="7">
        <v>3</v>
      </c>
      <c r="G630" s="7">
        <v>4</v>
      </c>
      <c r="H630" s="7">
        <f t="shared" si="18"/>
        <v>28</v>
      </c>
      <c r="I630" s="7">
        <f t="shared" si="19"/>
        <v>8.1200000000000008E-2</v>
      </c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1:28" ht="15" thickBot="1" x14ac:dyDescent="0.4">
      <c r="A631" s="5" t="s">
        <v>111</v>
      </c>
      <c r="B631" s="7" t="s">
        <v>68</v>
      </c>
      <c r="C631" s="7" t="s">
        <v>40</v>
      </c>
      <c r="D631" s="11" t="s">
        <v>76</v>
      </c>
      <c r="E631" s="11" t="s">
        <v>122</v>
      </c>
      <c r="F631" s="7">
        <v>0</v>
      </c>
      <c r="G631" s="7">
        <v>0</v>
      </c>
      <c r="H631" s="7">
        <f t="shared" si="18"/>
        <v>0</v>
      </c>
      <c r="I631" s="7">
        <f t="shared" si="19"/>
        <v>0</v>
      </c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1:28" ht="15" thickBot="1" x14ac:dyDescent="0.4">
      <c r="A632" s="5" t="s">
        <v>111</v>
      </c>
      <c r="B632" s="7" t="s">
        <v>68</v>
      </c>
      <c r="C632" s="7" t="s">
        <v>41</v>
      </c>
      <c r="D632" s="11" t="s">
        <v>77</v>
      </c>
      <c r="E632" t="s">
        <v>23</v>
      </c>
      <c r="F632" s="7">
        <v>20</v>
      </c>
      <c r="G632" s="7">
        <v>24</v>
      </c>
      <c r="H632" s="7">
        <f t="shared" si="18"/>
        <v>168</v>
      </c>
      <c r="I632" s="7">
        <f t="shared" si="19"/>
        <v>0.48719999999999997</v>
      </c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1:28" ht="15" thickBot="1" x14ac:dyDescent="0.4">
      <c r="A633" s="5" t="s">
        <v>111</v>
      </c>
      <c r="B633" s="7" t="s">
        <v>68</v>
      </c>
      <c r="C633" s="7" t="s">
        <v>41</v>
      </c>
      <c r="D633" s="11" t="s">
        <v>78</v>
      </c>
      <c r="E633" t="s">
        <v>24</v>
      </c>
      <c r="F633" s="7">
        <v>0</v>
      </c>
      <c r="G633" s="7">
        <v>0</v>
      </c>
      <c r="H633" s="7">
        <f t="shared" si="18"/>
        <v>0</v>
      </c>
      <c r="I633" s="7">
        <f t="shared" si="19"/>
        <v>0</v>
      </c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1:28" ht="15" thickBot="1" x14ac:dyDescent="0.4">
      <c r="A634" s="5" t="s">
        <v>111</v>
      </c>
      <c r="B634" s="7" t="s">
        <v>68</v>
      </c>
      <c r="C634" s="7" t="s">
        <v>42</v>
      </c>
      <c r="D634" s="6" t="s">
        <v>71</v>
      </c>
      <c r="E634" t="s">
        <v>123</v>
      </c>
      <c r="F634" s="7">
        <v>3</v>
      </c>
      <c r="G634" s="7">
        <v>3</v>
      </c>
      <c r="H634" s="7">
        <f t="shared" si="18"/>
        <v>21</v>
      </c>
      <c r="I634" s="7">
        <f t="shared" si="19"/>
        <v>6.0899999999999996E-2</v>
      </c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1:28" ht="15" thickBot="1" x14ac:dyDescent="0.4">
      <c r="A635" s="5" t="s">
        <v>111</v>
      </c>
      <c r="B635" s="7" t="s">
        <v>68</v>
      </c>
      <c r="C635" s="7" t="s">
        <v>42</v>
      </c>
      <c r="D635" s="6" t="s">
        <v>73</v>
      </c>
      <c r="E635" t="s">
        <v>124</v>
      </c>
      <c r="F635" s="7">
        <v>0</v>
      </c>
      <c r="G635" s="7">
        <v>0</v>
      </c>
      <c r="H635" s="7">
        <f t="shared" si="18"/>
        <v>0</v>
      </c>
      <c r="I635" s="7">
        <f t="shared" si="19"/>
        <v>0</v>
      </c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1:28" ht="15" thickBot="1" x14ac:dyDescent="0.4">
      <c r="A636" s="5" t="s">
        <v>111</v>
      </c>
      <c r="B636" s="7" t="s">
        <v>68</v>
      </c>
      <c r="C636" s="7" t="s">
        <v>42</v>
      </c>
      <c r="D636" s="6" t="s">
        <v>74</v>
      </c>
      <c r="E636" t="s">
        <v>125</v>
      </c>
      <c r="F636" s="7">
        <v>3</v>
      </c>
      <c r="G636" s="7">
        <v>3</v>
      </c>
      <c r="H636" s="7">
        <f t="shared" si="18"/>
        <v>21</v>
      </c>
      <c r="I636" s="7">
        <f t="shared" si="19"/>
        <v>6.0899999999999996E-2</v>
      </c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1:28" ht="15" thickBot="1" x14ac:dyDescent="0.4">
      <c r="A637" s="5" t="s">
        <v>111</v>
      </c>
      <c r="B637" s="7" t="s">
        <v>68</v>
      </c>
      <c r="C637" s="7" t="s">
        <v>42</v>
      </c>
      <c r="D637" s="6" t="s">
        <v>76</v>
      </c>
      <c r="E637" t="s">
        <v>126</v>
      </c>
      <c r="F637" s="7">
        <v>0</v>
      </c>
      <c r="G637" s="7">
        <v>0</v>
      </c>
      <c r="H637" s="7">
        <f t="shared" si="18"/>
        <v>0</v>
      </c>
      <c r="I637" s="7">
        <f t="shared" si="19"/>
        <v>0</v>
      </c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1:28" ht="15" thickBot="1" x14ac:dyDescent="0.4">
      <c r="A638" s="5" t="s">
        <v>111</v>
      </c>
      <c r="B638" s="7" t="s">
        <v>68</v>
      </c>
      <c r="C638" s="7" t="s">
        <v>79</v>
      </c>
      <c r="D638" s="11" t="s">
        <v>79</v>
      </c>
      <c r="E638" t="s">
        <v>25</v>
      </c>
      <c r="F638" s="7">
        <v>25</v>
      </c>
      <c r="G638" s="7">
        <v>28</v>
      </c>
      <c r="H638" s="7">
        <f t="shared" si="18"/>
        <v>196</v>
      </c>
      <c r="I638" s="7">
        <f t="shared" si="19"/>
        <v>0.56840000000000002</v>
      </c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1:28" ht="15" thickBot="1" x14ac:dyDescent="0.4">
      <c r="A639" s="5" t="s">
        <v>111</v>
      </c>
      <c r="B639" s="7" t="s">
        <v>80</v>
      </c>
      <c r="C639" s="7" t="s">
        <v>43</v>
      </c>
      <c r="D639" s="11" t="s">
        <v>43</v>
      </c>
      <c r="E639" t="s">
        <v>26</v>
      </c>
      <c r="F639" s="7">
        <v>65</v>
      </c>
      <c r="G639" s="7">
        <v>65</v>
      </c>
      <c r="H639" s="7">
        <f t="shared" si="18"/>
        <v>455</v>
      </c>
      <c r="I639" s="7">
        <f t="shared" si="19"/>
        <v>1.3194999999999999</v>
      </c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1:28" ht="15" thickBot="1" x14ac:dyDescent="0.4">
      <c r="A640" s="5" t="s">
        <v>111</v>
      </c>
      <c r="B640" s="7" t="s">
        <v>80</v>
      </c>
      <c r="C640" s="7" t="s">
        <v>43</v>
      </c>
      <c r="D640" s="11" t="s">
        <v>81</v>
      </c>
      <c r="E640" t="s">
        <v>27</v>
      </c>
      <c r="F640" s="7">
        <v>0</v>
      </c>
      <c r="G640" s="7">
        <v>0</v>
      </c>
      <c r="H640" s="7">
        <f t="shared" si="18"/>
        <v>0</v>
      </c>
      <c r="I640" s="7">
        <f t="shared" si="19"/>
        <v>0</v>
      </c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1:28" ht="15" thickBot="1" x14ac:dyDescent="0.4">
      <c r="A641" s="5" t="s">
        <v>111</v>
      </c>
      <c r="B641" s="7" t="s">
        <v>80</v>
      </c>
      <c r="C641" s="7" t="s">
        <v>44</v>
      </c>
      <c r="D641" s="11" t="s">
        <v>82</v>
      </c>
      <c r="E641" t="s">
        <v>127</v>
      </c>
      <c r="F641" s="7">
        <v>25</v>
      </c>
      <c r="G641" s="7">
        <v>31</v>
      </c>
      <c r="H641" s="7">
        <f t="shared" si="18"/>
        <v>217</v>
      </c>
      <c r="I641" s="7">
        <f t="shared" si="19"/>
        <v>0.62929999999999997</v>
      </c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1:28" ht="15" thickBot="1" x14ac:dyDescent="0.4">
      <c r="A642" s="5" t="s">
        <v>111</v>
      </c>
      <c r="B642" s="7" t="s">
        <v>80</v>
      </c>
      <c r="C642" s="7" t="s">
        <v>44</v>
      </c>
      <c r="D642" s="11" t="s">
        <v>83</v>
      </c>
      <c r="E642" t="s">
        <v>28</v>
      </c>
      <c r="F642" s="7">
        <v>8</v>
      </c>
      <c r="G642" s="7">
        <v>10</v>
      </c>
      <c r="H642" s="7">
        <f t="shared" si="18"/>
        <v>70</v>
      </c>
      <c r="I642" s="7">
        <f t="shared" si="19"/>
        <v>0.20300000000000001</v>
      </c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1:28" ht="15" thickBot="1" x14ac:dyDescent="0.4">
      <c r="A643" s="5" t="s">
        <v>111</v>
      </c>
      <c r="B643" s="7" t="s">
        <v>45</v>
      </c>
      <c r="C643" s="7" t="s">
        <v>84</v>
      </c>
      <c r="D643" t="s">
        <v>84</v>
      </c>
      <c r="E643" t="s">
        <v>30</v>
      </c>
      <c r="F643" s="7">
        <v>15</v>
      </c>
      <c r="G643" s="7">
        <v>15</v>
      </c>
      <c r="H643" s="7">
        <f t="shared" ref="H643:H651" si="20">G643*7</f>
        <v>105</v>
      </c>
      <c r="I643" s="7">
        <f t="shared" ref="I643:I651" si="21">H643*2.9/(1000)</f>
        <v>0.30449999999999999</v>
      </c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1:28" ht="15" thickBot="1" x14ac:dyDescent="0.4">
      <c r="A644" s="5" t="s">
        <v>111</v>
      </c>
      <c r="B644" s="7" t="s">
        <v>45</v>
      </c>
      <c r="C644" s="7" t="s">
        <v>85</v>
      </c>
      <c r="D644" t="s">
        <v>85</v>
      </c>
      <c r="E644" t="s">
        <v>31</v>
      </c>
      <c r="F644" s="7">
        <v>5</v>
      </c>
      <c r="G644" s="7">
        <v>5</v>
      </c>
      <c r="H644" s="7">
        <f t="shared" si="20"/>
        <v>35</v>
      </c>
      <c r="I644" s="7">
        <f t="shared" si="21"/>
        <v>0.10150000000000001</v>
      </c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1:28" ht="15" thickBot="1" x14ac:dyDescent="0.4">
      <c r="A645" s="5" t="s">
        <v>111</v>
      </c>
      <c r="B645" s="7" t="s">
        <v>86</v>
      </c>
      <c r="C645" s="7" t="s">
        <v>87</v>
      </c>
      <c r="D645" s="11" t="s">
        <v>87</v>
      </c>
      <c r="E645" t="s">
        <v>29</v>
      </c>
      <c r="F645" s="7">
        <v>50</v>
      </c>
      <c r="G645" s="7">
        <v>50</v>
      </c>
      <c r="H645" s="7">
        <f t="shared" si="20"/>
        <v>350</v>
      </c>
      <c r="I645" s="7">
        <f t="shared" si="21"/>
        <v>1.0149999999999999</v>
      </c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1:28" ht="15" thickBot="1" x14ac:dyDescent="0.4">
      <c r="A646" s="5" t="s">
        <v>111</v>
      </c>
      <c r="B646" s="7" t="s">
        <v>86</v>
      </c>
      <c r="C646" s="7" t="s">
        <v>46</v>
      </c>
      <c r="D646" s="11" t="s">
        <v>88</v>
      </c>
      <c r="E646" s="11" t="s">
        <v>88</v>
      </c>
      <c r="F646" s="7">
        <v>5</v>
      </c>
      <c r="G646" s="7">
        <v>5</v>
      </c>
      <c r="H646" s="7">
        <f t="shared" si="20"/>
        <v>35</v>
      </c>
      <c r="I646" s="7">
        <f t="shared" si="21"/>
        <v>0.10150000000000001</v>
      </c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1:28" ht="15" thickBot="1" x14ac:dyDescent="0.4">
      <c r="A647" s="5" t="s">
        <v>111</v>
      </c>
      <c r="B647" s="7" t="s">
        <v>86</v>
      </c>
      <c r="C647" s="7" t="s">
        <v>46</v>
      </c>
      <c r="D647" s="11" t="s">
        <v>89</v>
      </c>
      <c r="E647" s="11" t="s">
        <v>89</v>
      </c>
      <c r="F647" s="7">
        <v>0</v>
      </c>
      <c r="G647" s="7">
        <v>0</v>
      </c>
      <c r="H647" s="7">
        <f t="shared" si="20"/>
        <v>0</v>
      </c>
      <c r="I647" s="7">
        <f t="shared" si="21"/>
        <v>0</v>
      </c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1:28" ht="15" thickBot="1" x14ac:dyDescent="0.4">
      <c r="A648" s="5" t="s">
        <v>111</v>
      </c>
      <c r="B648" s="7" t="s">
        <v>86</v>
      </c>
      <c r="C648" s="7" t="s">
        <v>46</v>
      </c>
      <c r="D648" s="11" t="s">
        <v>90</v>
      </c>
      <c r="E648" s="11" t="s">
        <v>90</v>
      </c>
      <c r="F648" s="7">
        <v>15</v>
      </c>
      <c r="G648" s="7">
        <v>15</v>
      </c>
      <c r="H648" s="7">
        <f t="shared" si="20"/>
        <v>105</v>
      </c>
      <c r="I648" s="7">
        <f t="shared" si="21"/>
        <v>0.30449999999999999</v>
      </c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1:28" ht="15" thickBot="1" x14ac:dyDescent="0.4">
      <c r="A649" s="5" t="s">
        <v>111</v>
      </c>
      <c r="B649" s="7" t="s">
        <v>86</v>
      </c>
      <c r="C649" s="7" t="s">
        <v>46</v>
      </c>
      <c r="D649" s="11" t="s">
        <v>91</v>
      </c>
      <c r="E649" s="11" t="s">
        <v>91</v>
      </c>
      <c r="F649" s="7">
        <v>5</v>
      </c>
      <c r="G649" s="7">
        <v>5</v>
      </c>
      <c r="H649" s="7">
        <f t="shared" si="20"/>
        <v>35</v>
      </c>
      <c r="I649" s="7">
        <f t="shared" si="21"/>
        <v>0.10150000000000001</v>
      </c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1:28" ht="15" thickBot="1" x14ac:dyDescent="0.4">
      <c r="A650" s="5" t="s">
        <v>111</v>
      </c>
      <c r="B650" s="7" t="s">
        <v>86</v>
      </c>
      <c r="C650" s="7" t="s">
        <v>92</v>
      </c>
      <c r="D650" t="s">
        <v>93</v>
      </c>
      <c r="E650" t="s">
        <v>93</v>
      </c>
      <c r="F650" s="7">
        <v>8</v>
      </c>
      <c r="G650" s="7">
        <v>9</v>
      </c>
      <c r="H650" s="7">
        <f t="shared" si="20"/>
        <v>63</v>
      </c>
      <c r="I650" s="7">
        <f t="shared" si="21"/>
        <v>0.1827</v>
      </c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1:28" ht="15" thickBot="1" x14ac:dyDescent="0.4">
      <c r="A651" s="5" t="s">
        <v>111</v>
      </c>
      <c r="B651" s="7" t="s">
        <v>86</v>
      </c>
      <c r="C651" s="7" t="s">
        <v>92</v>
      </c>
      <c r="D651" t="s">
        <v>94</v>
      </c>
      <c r="E651" t="s">
        <v>94</v>
      </c>
      <c r="F651" s="7">
        <v>3</v>
      </c>
      <c r="G651" s="7">
        <v>3</v>
      </c>
      <c r="H651" s="7">
        <f t="shared" si="20"/>
        <v>21</v>
      </c>
      <c r="I651" s="7">
        <f t="shared" si="21"/>
        <v>6.0899999999999996E-2</v>
      </c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Asignacion_Territorial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YURY MARCELA OCAMPO BUITRAGO</cp:lastModifiedBy>
  <dcterms:created xsi:type="dcterms:W3CDTF">2026-06-14T01:38:21Z</dcterms:created>
  <dcterms:modified xsi:type="dcterms:W3CDTF">2026-06-14T15:23:34Z</dcterms:modified>
</cp:coreProperties>
</file>